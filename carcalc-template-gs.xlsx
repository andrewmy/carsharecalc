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Providers" sheetId="2" state="visible" r:id="rId2"/>
    <sheet name="Vehicles" sheetId="3" state="visible" r:id="rId3"/>
    <sheet name="Options" sheetId="4" state="visible" r:id="rId4"/>
    <sheet name="Results" sheetId="5" state="visible" r:id="rId5"/>
    <sheet name="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Start datetime</t>
        </is>
      </c>
      <c r="B2" t="inlineStr"/>
      <c r="C2" t="inlineStr">
        <is>
          <t>Timezone: Europe/Riga</t>
        </is>
      </c>
    </row>
    <row r="3">
      <c r="A3" t="inlineStr">
        <is>
          <t>Total time (Duration)</t>
        </is>
      </c>
      <c r="B3" t="inlineStr">
        <is>
          <t>1:00</t>
        </is>
      </c>
      <c r="C3" t="inlineStr">
        <is>
          <t>Enter as Duration (e.g., 1:30 or 36:00)</t>
        </is>
      </c>
    </row>
    <row r="4">
      <c r="A4" t="inlineStr">
        <is>
          <t>Parking time (Duration)</t>
        </is>
      </c>
      <c r="B4" t="inlineStr">
        <is>
          <t>0:00</t>
        </is>
      </c>
      <c r="C4" t="inlineStr">
        <is>
          <t>Optional; must be &lt;= total time</t>
        </is>
      </c>
    </row>
    <row r="5">
      <c r="A5" t="inlineStr">
        <is>
          <t>Distance (km)</t>
        </is>
      </c>
      <c r="B5" t="inlineStr">
        <is>
          <t>10</t>
        </is>
      </c>
    </row>
    <row r="6">
      <c r="A6" t="inlineStr">
        <is>
          <t>Airport zone (either pickup or dropoff)</t>
        </is>
      </c>
      <c r="B6" t="inlineStr">
        <is>
          <t>FALSE</t>
        </is>
      </c>
      <c r="C6" t="inlineStr">
        <is>
          <t>MVP: single toggle</t>
        </is>
      </c>
    </row>
    <row r="7">
      <c r="A7" t="inlineStr"/>
      <c r="B7" t="inlineStr"/>
      <c r="C7" t="inlineStr"/>
    </row>
    <row r="8">
      <c r="A8" t="inlineStr">
        <is>
          <t>Fuel price (€/L)</t>
        </is>
      </c>
      <c r="B8" t="inlineStr">
        <is>
          <t>1.70</t>
        </is>
      </c>
      <c r="C8" t="inlineStr">
        <is>
          <t>Used when `fuel_included=FALSE`</t>
        </is>
      </c>
    </row>
    <row r="9">
      <c r="A9" t="inlineStr">
        <is>
          <t>Consumption (L/100km)</t>
        </is>
      </c>
      <c r="B9" t="inlineStr">
        <is>
          <t>7.5</t>
        </is>
      </c>
      <c r="C9" t="inlineStr">
        <is>
          <t>Used when `fuel_included=FALSE`</t>
        </is>
      </c>
    </row>
    <row r="10">
      <c r="A10" t="inlineStr"/>
      <c r="B10" t="inlineStr"/>
      <c r="C10" t="inlineStr"/>
    </row>
    <row r="11">
      <c r="A11" t="inlineStr">
        <is>
          <t>End datetime</t>
        </is>
      </c>
      <c r="B11">
        <f>B2+B3</f>
        <v/>
      </c>
      <c r="C11" t="inlineStr"/>
    </row>
    <row r="12">
      <c r="A12" t="inlineStr">
        <is>
          <t>Total minutes billed</t>
        </is>
      </c>
      <c r="B12">
        <f>ROUNDUP(B3*1440,0)</f>
        <v/>
      </c>
      <c r="C12" t="inlineStr">
        <is>
          <t>Round up to next minute</t>
        </is>
      </c>
    </row>
    <row r="13">
      <c r="A13" t="inlineStr">
        <is>
          <t>Parking minutes billed</t>
        </is>
      </c>
      <c r="B13">
        <f>ROUNDUP(B4*1440,0)</f>
        <v/>
      </c>
      <c r="C13" t="inlineStr"/>
    </row>
    <row r="14">
      <c r="A14" t="inlineStr">
        <is>
          <t>Distance km billed</t>
        </is>
      </c>
      <c r="B14">
        <f>ROUNDUP(B5,0)</f>
        <v/>
      </c>
      <c r="C14" t="inlineStr">
        <is>
          <t>Round up to next km</t>
        </is>
      </c>
    </row>
    <row r="15">
      <c r="A15" t="inlineStr">
        <is>
          <t>Parking&lt;=Total check</t>
        </is>
      </c>
      <c r="B15">
        <f>IF(B13&gt;B12,"ERROR: parking &gt; total","OK")</f>
        <v/>
      </c>
      <c r="C15" t="inlineStr"/>
    </row>
    <row r="16">
      <c r="A16" t="inlineStr"/>
      <c r="B16" t="inlineStr"/>
      <c r="C16" t="inlineStr"/>
    </row>
    <row r="17">
      <c r="A17" t="inlineStr">
        <is>
          <t>provider_id</t>
        </is>
      </c>
      <c r="B17" t="inlineStr">
        <is>
          <t>night_start</t>
        </is>
      </c>
      <c r="C17" t="inlineStr">
        <is>
          <t>night_end</t>
        </is>
      </c>
      <c r="D17" t="inlineStr">
        <is>
          <t>night_min</t>
        </is>
      </c>
      <c r="E17" t="inlineStr">
        <is>
          <t>day_min</t>
        </is>
      </c>
      <c r="F17" t="inlineStr">
        <is>
          <t>park_night_min</t>
        </is>
      </c>
      <c r="G17" t="inlineStr">
        <is>
          <t>park_day_min</t>
        </is>
      </c>
      <c r="H17" t="inlineStr">
        <is>
          <t>drive_night_min</t>
        </is>
      </c>
      <c r="I17" t="inlineStr">
        <is>
          <t>drive_day_min</t>
        </is>
      </c>
    </row>
    <row r="18">
      <c r="A18" t="inlineStr">
        <is>
          <t>carguru</t>
        </is>
      </c>
      <c r="B18">
        <f>VLOOKUP(A18,Providers!A:E,3,FALSE)</f>
        <v/>
      </c>
      <c r="C18">
        <f>VLOOKUP(A18,Providers!A:E,4,FALSE)</f>
        <v/>
      </c>
      <c r="D18">
        <f>IF($B$12=0,0,ROUNDUP(NIGHT_MINUTES($B$2,$B$11,B18,C18),0))</f>
        <v/>
      </c>
      <c r="E18">
        <f>$B$12-D18</f>
        <v/>
      </c>
      <c r="F18">
        <f>IF($B$12=0,0,MIN($B$13,MIN(D18,ROUNDUP($B$13*D18/$B$12,0))))</f>
        <v/>
      </c>
      <c r="G18">
        <f>$B$13-F18</f>
        <v/>
      </c>
      <c r="H18">
        <f>D18-F18</f>
        <v/>
      </c>
      <c r="I18">
        <f>E18-G18</f>
        <v/>
      </c>
    </row>
    <row r="19">
      <c r="A19" t="inlineStr">
        <is>
          <t>citybee</t>
        </is>
      </c>
      <c r="B19">
        <f>VLOOKUP(A19,Providers!A:E,3,FALSE)</f>
        <v/>
      </c>
      <c r="C19">
        <f>VLOOKUP(A19,Providers!A:E,4,FALSE)</f>
        <v/>
      </c>
      <c r="D19">
        <f>IF($B$12=0,0,ROUNDUP(NIGHT_MINUTES($B$2,$B$11,B19,C19),0))</f>
        <v/>
      </c>
      <c r="E19">
        <f>$B$12-D19</f>
        <v/>
      </c>
      <c r="F19">
        <f>IF($B$12=0,0,MIN($B$13,MIN(D19,ROUNDUP($B$13*D19/$B$12,0))))</f>
        <v/>
      </c>
      <c r="G19">
        <f>$B$13-F19</f>
        <v/>
      </c>
      <c r="H19">
        <f>D19-F19</f>
        <v/>
      </c>
      <c r="I19">
        <f>E19-G19</f>
        <v/>
      </c>
    </row>
    <row r="20">
      <c r="A20" t="inlineStr">
        <is>
          <t>bolt</t>
        </is>
      </c>
      <c r="B20">
        <f>VLOOKUP(A20,Providers!A:E,3,FALSE)</f>
        <v/>
      </c>
      <c r="C20">
        <f>VLOOKUP(A20,Providers!A:E,4,FALSE)</f>
        <v/>
      </c>
      <c r="D20">
        <f>IF($B$12=0,0,ROUNDUP(NIGHT_MINUTES($B$2,$B$11,B20,C20),0))</f>
        <v/>
      </c>
      <c r="E20">
        <f>$B$12-D20</f>
        <v/>
      </c>
      <c r="F20">
        <f>IF($B$12=0,0,MIN($B$13,MIN(D20,ROUNDUP($B$13*D20/$B$12,0))))</f>
        <v/>
      </c>
      <c r="G20">
        <f>$B$13-F20</f>
        <v/>
      </c>
      <c r="H20">
        <f>D20-F20</f>
        <v/>
      </c>
      <c r="I20">
        <f>E20-G20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provider_name</t>
        </is>
      </c>
      <c r="C1" t="inlineStr">
        <is>
          <t>night_start</t>
        </is>
      </c>
      <c r="D1" t="inlineStr">
        <is>
          <t>night_end</t>
        </is>
      </c>
      <c r="E1" t="inlineStr">
        <is>
          <t>notes</t>
        </is>
      </c>
    </row>
    <row r="2">
      <c r="A2" t="inlineStr">
        <is>
          <t>carguru</t>
        </is>
      </c>
      <c r="B2" t="inlineStr">
        <is>
          <t>CarGuru</t>
        </is>
      </c>
      <c r="C2" t="inlineStr">
        <is>
          <t>22:00</t>
        </is>
      </c>
      <c r="D2" t="inlineStr">
        <is>
          <t>06:00</t>
        </is>
      </c>
      <c r="E2" t="inlineStr">
        <is>
          <t>Update from carguru.lv if different</t>
        </is>
      </c>
    </row>
    <row r="3">
      <c r="A3" t="inlineStr">
        <is>
          <t>citybee</t>
        </is>
      </c>
      <c r="B3" t="inlineStr">
        <is>
          <t>CityBee</t>
        </is>
      </c>
      <c r="C3" t="inlineStr">
        <is>
          <t>22:00</t>
        </is>
      </c>
      <c r="D3" t="inlineStr">
        <is>
          <t>06:00</t>
        </is>
      </c>
      <c r="E3" t="inlineStr">
        <is>
          <t>Update from citybee.lv if different</t>
        </is>
      </c>
    </row>
    <row r="4">
      <c r="A4" t="inlineStr">
        <is>
          <t>bolt</t>
        </is>
      </c>
      <c r="B4" t="inlineStr">
        <is>
          <t>Bolt Drive</t>
        </is>
      </c>
      <c r="C4" t="inlineStr">
        <is>
          <t>22:00</t>
        </is>
      </c>
      <c r="D4" t="inlineStr">
        <is>
          <t>06:00</t>
        </is>
      </c>
      <c r="E4" t="inlineStr">
        <is>
          <t>Fill from in-app / assumptions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vehicle_id</t>
        </is>
      </c>
      <c r="C1" t="inlineStr">
        <is>
          <t>vehicle_name</t>
        </is>
      </c>
      <c r="D1" t="inlineStr">
        <is>
          <t>vehicle_class</t>
        </is>
      </c>
    </row>
    <row r="2">
      <c r="A2" t="inlineStr">
        <is>
          <t>bolt</t>
        </is>
      </c>
      <c r="B2" t="inlineStr">
        <is>
          <t>bolt_yaris_cross</t>
        </is>
      </c>
      <c r="C2" t="inlineStr">
        <is>
          <t>Toyota Yaris Cross</t>
        </is>
      </c>
      <c r="D2" t="inlineStr"/>
    </row>
    <row r="3">
      <c r="A3" t="inlineStr">
        <is>
          <t>carguru</t>
        </is>
      </c>
      <c r="B3" t="inlineStr">
        <is>
          <t>carguru_37</t>
        </is>
      </c>
      <c r="C3" t="inlineStr">
        <is>
          <t>Lucky Ride cars</t>
        </is>
      </c>
      <c r="D3" t="inlineStr"/>
    </row>
    <row r="4">
      <c r="A4" t="inlineStr">
        <is>
          <t>carguru</t>
        </is>
      </c>
      <c r="B4" t="inlineStr">
        <is>
          <t>carguru_15</t>
        </is>
      </c>
      <c r="C4" t="inlineStr">
        <is>
          <t>Nissan Juke</t>
        </is>
      </c>
      <c r="D4" t="inlineStr"/>
    </row>
    <row r="5">
      <c r="A5" t="inlineStr">
        <is>
          <t>carguru</t>
        </is>
      </c>
      <c r="B5" t="inlineStr">
        <is>
          <t>carguru_16</t>
        </is>
      </c>
      <c r="C5" t="inlineStr">
        <is>
          <t>Nissan Qashqai</t>
        </is>
      </c>
      <c r="D5" t="inlineStr"/>
    </row>
    <row r="6">
      <c r="A6" t="inlineStr">
        <is>
          <t>carguru</t>
        </is>
      </c>
      <c r="B6" t="inlineStr">
        <is>
          <t>carguru_24</t>
        </is>
      </c>
      <c r="C6" t="inlineStr">
        <is>
          <t>Nissan Qashqai e-power</t>
        </is>
      </c>
      <c r="D6" t="inlineStr"/>
    </row>
    <row r="7">
      <c r="A7" t="inlineStr">
        <is>
          <t>carguru</t>
        </is>
      </c>
      <c r="B7" t="inlineStr">
        <is>
          <t>carguru_35</t>
        </is>
      </c>
      <c r="C7" t="inlineStr">
        <is>
          <t>Qashqai C24</t>
        </is>
      </c>
      <c r="D7" t="inlineStr"/>
    </row>
    <row r="8">
      <c r="A8" t="inlineStr">
        <is>
          <t>carguru</t>
        </is>
      </c>
      <c r="B8" t="inlineStr">
        <is>
          <t>carguru_27</t>
        </is>
      </c>
      <c r="C8" t="inlineStr">
        <is>
          <t>Tesla 3 Performance</t>
        </is>
      </c>
      <c r="D8" t="inlineStr"/>
    </row>
    <row r="9">
      <c r="A9" t="inlineStr">
        <is>
          <t>carguru</t>
        </is>
      </c>
      <c r="B9" t="inlineStr">
        <is>
          <t>carguru_26</t>
        </is>
      </c>
      <c r="C9" t="inlineStr">
        <is>
          <t>Tesla Model 3 LR</t>
        </is>
      </c>
      <c r="D9" t="inlineStr"/>
    </row>
    <row r="10">
      <c r="A10" t="inlineStr">
        <is>
          <t>carguru</t>
        </is>
      </c>
      <c r="B10" t="inlineStr">
        <is>
          <t>carguru_25</t>
        </is>
      </c>
      <c r="C10" t="inlineStr">
        <is>
          <t>Tesla Model 3 SR</t>
        </is>
      </c>
      <c r="D10" t="inlineStr"/>
    </row>
    <row r="11">
      <c r="A11" t="inlineStr">
        <is>
          <t>carguru</t>
        </is>
      </c>
      <c r="B11" t="inlineStr">
        <is>
          <t>carguru_29</t>
        </is>
      </c>
      <c r="C11" t="inlineStr">
        <is>
          <t>Tesla Model Y LR</t>
        </is>
      </c>
      <c r="D11" t="inlineStr"/>
    </row>
    <row r="12">
      <c r="A12" t="inlineStr">
        <is>
          <t>carguru</t>
        </is>
      </c>
      <c r="B12" t="inlineStr">
        <is>
          <t>carguru_28</t>
        </is>
      </c>
      <c r="C12" t="inlineStr">
        <is>
          <t>Tesla Model Y SR</t>
        </is>
      </c>
      <c r="D12" t="inlineStr"/>
    </row>
    <row r="13">
      <c r="A13" t="inlineStr">
        <is>
          <t>carguru</t>
        </is>
      </c>
      <c r="B13" t="inlineStr">
        <is>
          <t>carguru_1</t>
        </is>
      </c>
      <c r="C13" t="inlineStr">
        <is>
          <t>Toyota C-HR</t>
        </is>
      </c>
      <c r="D13" t="inlineStr"/>
    </row>
    <row r="14">
      <c r="A14" t="inlineStr">
        <is>
          <t>carguru</t>
        </is>
      </c>
      <c r="B14" t="inlineStr">
        <is>
          <t>carguru_33</t>
        </is>
      </c>
      <c r="C14" t="inlineStr">
        <is>
          <t>Toyota C-HR Mesa</t>
        </is>
      </c>
      <c r="D14" t="inlineStr"/>
    </row>
    <row r="15">
      <c r="A15" t="inlineStr">
        <is>
          <t>carguru</t>
        </is>
      </c>
      <c r="B15" t="inlineStr">
        <is>
          <t>carguru_17</t>
        </is>
      </c>
      <c r="C15" t="inlineStr">
        <is>
          <t>Toyota Corolla HB</t>
        </is>
      </c>
      <c r="D15" t="inlineStr"/>
    </row>
    <row r="16">
      <c r="A16" t="inlineStr">
        <is>
          <t>carguru</t>
        </is>
      </c>
      <c r="B16" t="inlineStr">
        <is>
          <t>carguru_5</t>
        </is>
      </c>
      <c r="C16" t="inlineStr">
        <is>
          <t>Toyota Yaris</t>
        </is>
      </c>
      <c r="D16" t="inlineStr"/>
    </row>
    <row r="17">
      <c r="A17" t="inlineStr">
        <is>
          <t>citybee</t>
        </is>
      </c>
      <c r="B17" t="inlineStr">
        <is>
          <t>citybee_25156</t>
        </is>
      </c>
      <c r="C17" t="inlineStr">
        <is>
          <t>Fiat Ducato</t>
        </is>
      </c>
      <c r="D17" t="inlineStr">
        <is>
          <t>cargo</t>
        </is>
      </c>
    </row>
    <row r="18">
      <c r="A18" t="inlineStr">
        <is>
          <t>citybee</t>
        </is>
      </c>
      <c r="B18" t="inlineStr">
        <is>
          <t>citybee_10156</t>
        </is>
      </c>
      <c r="C18" t="inlineStr">
        <is>
          <t>Ford Transit</t>
        </is>
      </c>
      <c r="D18" t="inlineStr">
        <is>
          <t>cargo</t>
        </is>
      </c>
    </row>
    <row r="19">
      <c r="A19" t="inlineStr">
        <is>
          <t>citybee</t>
        </is>
      </c>
      <c r="B19" t="inlineStr">
        <is>
          <t>citybee_9662</t>
        </is>
      </c>
      <c r="C19" t="inlineStr">
        <is>
          <t>Renault Master</t>
        </is>
      </c>
      <c r="D19" t="inlineStr">
        <is>
          <t>cargo</t>
        </is>
      </c>
    </row>
    <row r="20">
      <c r="A20" t="inlineStr">
        <is>
          <t>citybee</t>
        </is>
      </c>
      <c r="B20" t="inlineStr">
        <is>
          <t>citybee_25309</t>
        </is>
      </c>
      <c r="C20" t="inlineStr">
        <is>
          <t>MG ZS</t>
        </is>
      </c>
      <c r="D20" t="inlineStr">
        <is>
          <t>crossover</t>
        </is>
      </c>
    </row>
    <row r="21">
      <c r="A21" t="inlineStr">
        <is>
          <t>citybee</t>
        </is>
      </c>
      <c r="B21" t="inlineStr">
        <is>
          <t>citybee_10245</t>
        </is>
      </c>
      <c r="C21" t="inlineStr">
        <is>
          <t>Nissan Qashqai</t>
        </is>
      </c>
      <c r="D21" t="inlineStr">
        <is>
          <t>crossover</t>
        </is>
      </c>
    </row>
    <row r="22">
      <c r="A22" t="inlineStr">
        <is>
          <t>citybee</t>
        </is>
      </c>
      <c r="B22" t="inlineStr">
        <is>
          <t>citybee_11384</t>
        </is>
      </c>
      <c r="C22" t="inlineStr">
        <is>
          <t>Seat Ateca</t>
        </is>
      </c>
      <c r="D22" t="inlineStr">
        <is>
          <t>crossover</t>
        </is>
      </c>
    </row>
    <row r="23">
      <c r="A23" t="inlineStr">
        <is>
          <t>citybee</t>
        </is>
      </c>
      <c r="B23" t="inlineStr">
        <is>
          <t>citybee_10277</t>
        </is>
      </c>
      <c r="C23" t="inlineStr">
        <is>
          <t>Toyota C-HR</t>
        </is>
      </c>
      <c r="D23" t="inlineStr">
        <is>
          <t>crossover</t>
        </is>
      </c>
    </row>
    <row r="24">
      <c r="A24" t="inlineStr">
        <is>
          <t>citybee</t>
        </is>
      </c>
      <c r="B24" t="inlineStr">
        <is>
          <t>citybee_25118</t>
        </is>
      </c>
      <c r="C24" t="inlineStr">
        <is>
          <t>Toyota Corolla Cross</t>
        </is>
      </c>
      <c r="D24" t="inlineStr">
        <is>
          <t>crossover</t>
        </is>
      </c>
    </row>
    <row r="25">
      <c r="A25" t="inlineStr">
        <is>
          <t>citybee</t>
        </is>
      </c>
      <c r="B25" t="inlineStr">
        <is>
          <t>citybee_10168</t>
        </is>
      </c>
      <c r="C25" t="inlineStr">
        <is>
          <t>VW T-Roc</t>
        </is>
      </c>
      <c r="D25" t="inlineStr">
        <is>
          <t>crossover</t>
        </is>
      </c>
    </row>
    <row r="26">
      <c r="A26" t="inlineStr">
        <is>
          <t>citybee</t>
        </is>
      </c>
      <c r="B26" t="inlineStr">
        <is>
          <t>citybee_4633</t>
        </is>
      </c>
      <c r="C26" t="inlineStr">
        <is>
          <t>Volkswagen T-Cross</t>
        </is>
      </c>
      <c r="D26" t="inlineStr">
        <is>
          <t>crossover</t>
        </is>
      </c>
    </row>
    <row r="27">
      <c r="A27" t="inlineStr">
        <is>
          <t>citybee</t>
        </is>
      </c>
      <c r="B27" t="inlineStr">
        <is>
          <t>citybee_10278</t>
        </is>
      </c>
      <c r="C27" t="inlineStr">
        <is>
          <t>Volkswagen Taigo</t>
        </is>
      </c>
      <c r="D27" t="inlineStr">
        <is>
          <t>crossover</t>
        </is>
      </c>
    </row>
    <row r="28">
      <c r="A28" t="inlineStr">
        <is>
          <t>citybee</t>
        </is>
      </c>
      <c r="B28" t="inlineStr">
        <is>
          <t>citybee_11117</t>
        </is>
      </c>
      <c r="C28" t="inlineStr">
        <is>
          <t>Ford Focus Wagon</t>
        </is>
      </c>
      <c r="D28" t="inlineStr">
        <is>
          <t>estates</t>
        </is>
      </c>
    </row>
    <row r="29">
      <c r="A29" t="inlineStr">
        <is>
          <t>citybee</t>
        </is>
      </c>
      <c r="B29" t="inlineStr">
        <is>
          <t>citybee_11445</t>
        </is>
      </c>
      <c r="C29" t="inlineStr">
        <is>
          <t>Toyota Corolla Touring</t>
        </is>
      </c>
      <c r="D29" t="inlineStr">
        <is>
          <t>estates</t>
        </is>
      </c>
    </row>
    <row r="30">
      <c r="A30" t="inlineStr">
        <is>
          <t>citybee</t>
        </is>
      </c>
      <c r="B30" t="inlineStr">
        <is>
          <t>citybee_9512</t>
        </is>
      </c>
      <c r="C30" t="inlineStr">
        <is>
          <t>BMW 118i</t>
        </is>
      </c>
      <c r="D30" t="inlineStr">
        <is>
          <t>hatchbacks</t>
        </is>
      </c>
    </row>
    <row r="31">
      <c r="A31" t="inlineStr">
        <is>
          <t>citybee</t>
        </is>
      </c>
      <c r="B31" t="inlineStr">
        <is>
          <t>citybee_10170</t>
        </is>
      </c>
      <c r="C31" t="inlineStr">
        <is>
          <t>Ford Focus</t>
        </is>
      </c>
      <c r="D31" t="inlineStr">
        <is>
          <t>hatchbacks</t>
        </is>
      </c>
    </row>
    <row r="32">
      <c r="A32" t="inlineStr">
        <is>
          <t>citybee</t>
        </is>
      </c>
      <c r="B32" t="inlineStr">
        <is>
          <t>citybee_11421</t>
        </is>
      </c>
      <c r="C32" t="inlineStr">
        <is>
          <t>Ford Puma</t>
        </is>
      </c>
      <c r="D32" t="inlineStr">
        <is>
          <t>hatchbacks</t>
        </is>
      </c>
    </row>
    <row r="33">
      <c r="A33" t="inlineStr">
        <is>
          <t>citybee</t>
        </is>
      </c>
      <c r="B33" t="inlineStr">
        <is>
          <t>citybee_11360</t>
        </is>
      </c>
      <c r="C33" t="inlineStr">
        <is>
          <t>Peugeot 308</t>
        </is>
      </c>
      <c r="D33" t="inlineStr">
        <is>
          <t>hatchbacks</t>
        </is>
      </c>
    </row>
    <row r="34">
      <c r="A34" t="inlineStr">
        <is>
          <t>citybee</t>
        </is>
      </c>
      <c r="B34" t="inlineStr">
        <is>
          <t>citybee_10421</t>
        </is>
      </c>
      <c r="C34" t="inlineStr">
        <is>
          <t>Skoda Fabia</t>
        </is>
      </c>
      <c r="D34" t="inlineStr">
        <is>
          <t>hatchbacks</t>
        </is>
      </c>
    </row>
    <row r="35">
      <c r="A35" t="inlineStr">
        <is>
          <t>citybee</t>
        </is>
      </c>
      <c r="B35" t="inlineStr">
        <is>
          <t>citybee_4627</t>
        </is>
      </c>
      <c r="C35" t="inlineStr">
        <is>
          <t>Toyota Corolla</t>
        </is>
      </c>
      <c r="D35" t="inlineStr">
        <is>
          <t>hatchbacks</t>
        </is>
      </c>
    </row>
    <row r="36">
      <c r="A36" t="inlineStr">
        <is>
          <t>citybee</t>
        </is>
      </c>
      <c r="B36" t="inlineStr">
        <is>
          <t>citybee_4626</t>
        </is>
      </c>
      <c r="C36" t="inlineStr">
        <is>
          <t>Toyota Yaris</t>
        </is>
      </c>
      <c r="D36" t="inlineStr">
        <is>
          <t>hatchbacks</t>
        </is>
      </c>
    </row>
    <row r="37">
      <c r="A37" t="inlineStr">
        <is>
          <t>citybee</t>
        </is>
      </c>
      <c r="B37" t="inlineStr">
        <is>
          <t>citybee_10213</t>
        </is>
      </c>
      <c r="C37" t="inlineStr">
        <is>
          <t>Ford Kuga</t>
        </is>
      </c>
      <c r="D37" t="inlineStr">
        <is>
          <t>suv</t>
        </is>
      </c>
    </row>
    <row r="38">
      <c r="A38" t="inlineStr">
        <is>
          <t>citybee</t>
        </is>
      </c>
      <c r="B38" t="inlineStr">
        <is>
          <t>citybee_10092</t>
        </is>
      </c>
      <c r="C38" t="inlineStr">
        <is>
          <t>Skoda Kamiq</t>
        </is>
      </c>
      <c r="D38" t="inlineStr">
        <is>
          <t>suv</t>
        </is>
      </c>
    </row>
    <row r="39">
      <c r="A39" t="inlineStr">
        <is>
          <t>citybee</t>
        </is>
      </c>
      <c r="B39" t="inlineStr">
        <is>
          <t>citybee_11420</t>
        </is>
      </c>
      <c r="C39" t="inlineStr">
        <is>
          <t>Skoda Karoq</t>
        </is>
      </c>
      <c r="D39" t="inlineStr">
        <is>
          <t>suv</t>
        </is>
      </c>
    </row>
    <row r="40">
      <c r="A40" t="inlineStr">
        <is>
          <t>citybee</t>
        </is>
      </c>
      <c r="B40" t="inlineStr">
        <is>
          <t>citybee_11499</t>
        </is>
      </c>
      <c r="C40" t="inlineStr">
        <is>
          <t>Volkswagen Tiguan</t>
        </is>
      </c>
      <c r="D40" t="inlineStr">
        <is>
          <t>suv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vehicle_id</t>
        </is>
      </c>
      <c r="C1" t="inlineStr">
        <is>
          <t>option_id</t>
        </is>
      </c>
      <c r="D1" t="inlineStr">
        <is>
          <t>option_name</t>
        </is>
      </c>
      <c r="E1" t="inlineStr">
        <is>
          <t>option_type</t>
        </is>
      </c>
      <c r="F1" t="inlineStr">
        <is>
          <t>unlock_fee_eur</t>
        </is>
      </c>
      <c r="G1" t="inlineStr">
        <is>
          <t>reservation_fee_eur</t>
        </is>
      </c>
      <c r="H1" t="inlineStr">
        <is>
          <t>fixed_fee_eur</t>
        </is>
      </c>
      <c r="I1" t="inlineStr">
        <is>
          <t>trip_fee_eur</t>
        </is>
      </c>
      <c r="J1" t="inlineStr">
        <is>
          <t>min_total_eur</t>
        </is>
      </c>
      <c r="K1" t="inlineStr">
        <is>
          <t>cap_24h_eur</t>
        </is>
      </c>
      <c r="L1" t="inlineStr">
        <is>
          <t>airport_fee_eur</t>
        </is>
      </c>
      <c r="M1" t="inlineStr">
        <is>
          <t>drive_day_min_rate_eur</t>
        </is>
      </c>
      <c r="N1" t="inlineStr">
        <is>
          <t>drive_night_min_rate_eur</t>
        </is>
      </c>
      <c r="O1" t="inlineStr">
        <is>
          <t>park_day_min_rate_eur</t>
        </is>
      </c>
      <c r="P1" t="inlineStr">
        <is>
          <t>park_night_min_rate_eur</t>
        </is>
      </c>
      <c r="Q1" t="inlineStr">
        <is>
          <t>km_rate_eur</t>
        </is>
      </c>
      <c r="R1" t="inlineStr">
        <is>
          <t>fuel_included</t>
        </is>
      </c>
      <c r="S1" t="inlineStr">
        <is>
          <t>parking_included</t>
        </is>
      </c>
      <c r="T1" t="inlineStr">
        <is>
          <t>package_price_eur</t>
        </is>
      </c>
      <c r="U1" t="inlineStr">
        <is>
          <t>included_min</t>
        </is>
      </c>
      <c r="V1" t="inlineStr">
        <is>
          <t>included_km</t>
        </is>
      </c>
      <c r="W1" t="inlineStr">
        <is>
          <t>over_km_rate_eur</t>
        </is>
      </c>
      <c r="X1" t="inlineStr">
        <is>
          <t>over_day_min_rate_eur</t>
        </is>
      </c>
      <c r="Y1" t="inlineStr">
        <is>
          <t>over_night_min_rate_eur</t>
        </is>
      </c>
      <c r="Z1" t="inlineStr">
        <is>
          <t>daily_price_eur</t>
        </is>
      </c>
      <c r="AA1" t="inlineStr">
        <is>
          <t>daily_included_km</t>
        </is>
      </c>
      <c r="AB1" t="inlineStr">
        <is>
          <t>daily_unlimited_km</t>
        </is>
      </c>
      <c r="AC1" t="inlineStr">
        <is>
          <t>daily_over_km_rate_eur</t>
        </is>
      </c>
      <c r="AD1" t="inlineStr">
        <is>
          <t>source_url</t>
        </is>
      </c>
      <c r="AE1" t="inlineStr">
        <is>
          <t>notes</t>
        </is>
      </c>
    </row>
    <row r="2">
      <c r="A2" t="inlineStr">
        <is>
          <t>bolt</t>
        </is>
      </c>
      <c r="B2" t="inlineStr">
        <is>
          <t>bolt_yaris_cross</t>
        </is>
      </c>
      <c r="C2" t="inlineStr">
        <is>
          <t>bolt_yaris_cross_payg</t>
        </is>
      </c>
      <c r="D2" t="inlineStr">
        <is>
          <t>PAYG (Toyota Yaris Cross)</t>
        </is>
      </c>
      <c r="E2" t="inlineStr">
        <is>
          <t>PAYG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2.55</t>
        </is>
      </c>
      <c r="K2" t="inlineStr">
        <is>
          <t>20.90</t>
        </is>
      </c>
      <c r="L2" t="inlineStr">
        <is>
          <t>3.5</t>
        </is>
      </c>
      <c r="M2" t="inlineStr">
        <is>
          <t>0.13</t>
        </is>
      </c>
      <c r="N2" t="inlineStr">
        <is>
          <t>0.13</t>
        </is>
      </c>
      <c r="O2" t="inlineStr">
        <is>
          <t>0.13</t>
        </is>
      </c>
      <c r="P2" t="inlineStr">
        <is>
          <t>0.13</t>
        </is>
      </c>
      <c r="Q2" t="inlineStr">
        <is>
          <t>0.29</t>
        </is>
      </c>
      <c r="R2" t="inlineStr">
        <is>
          <t>TRUE</t>
        </is>
      </c>
      <c r="S2" t="inlineStr">
        <is>
          <t>TRUE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(in-app)</t>
        </is>
      </c>
      <c r="AE2" t="inlineStr">
        <is>
          <t>Min charge + daily cap; airport fee is dropoff (MVP uses single toggle)</t>
        </is>
      </c>
    </row>
    <row r="3">
      <c r="A3" t="inlineStr">
        <is>
          <t>bolt</t>
        </is>
      </c>
      <c r="B3" t="inlineStr">
        <is>
          <t>bolt_yaris_cross</t>
        </is>
      </c>
      <c r="C3" t="inlineStr">
        <is>
          <t>bolt_yaris_cross_24h</t>
        </is>
      </c>
      <c r="D3" t="inlineStr">
        <is>
          <t>24h + 800km</t>
        </is>
      </c>
      <c r="E3" t="inlineStr">
        <is>
          <t>PACKAGE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/>
      <c r="K3" t="inlineStr"/>
      <c r="L3" t="inlineStr">
        <is>
          <t>3.5</t>
        </is>
      </c>
      <c r="M3" t="inlineStr">
        <is>
          <t>0.13</t>
        </is>
      </c>
      <c r="N3" t="inlineStr">
        <is>
          <t>0.13</t>
        </is>
      </c>
      <c r="O3" t="inlineStr">
        <is>
          <t>0.13</t>
        </is>
      </c>
      <c r="P3" t="inlineStr">
        <is>
          <t>0.13</t>
        </is>
      </c>
      <c r="Q3" t="inlineStr">
        <is>
          <t>0.29</t>
        </is>
      </c>
      <c r="R3" t="inlineStr">
        <is>
          <t>FALSE</t>
        </is>
      </c>
      <c r="S3" t="inlineStr">
        <is>
          <t>FALSE</t>
        </is>
      </c>
      <c r="T3" t="inlineStr">
        <is>
          <t>34</t>
        </is>
      </c>
      <c r="U3" t="inlineStr">
        <is>
          <t>1440</t>
        </is>
      </c>
      <c r="V3" t="inlineStr">
        <is>
          <t>800</t>
        </is>
      </c>
      <c r="W3" t="inlineStr">
        <is>
          <t>0.15</t>
        </is>
      </c>
      <c r="X3" t="inlineStr"/>
      <c r="Y3" t="inlineStr"/>
      <c r="Z3" t="inlineStr"/>
      <c r="AA3" t="inlineStr"/>
      <c r="AB3" t="inlineStr"/>
      <c r="AC3" t="inlineStr"/>
      <c r="AD3" t="inlineStr">
        <is>
          <t>(in-app)</t>
        </is>
      </c>
      <c r="AE3" t="inlineStr">
        <is>
          <t>Fuel+parking not included</t>
        </is>
      </c>
    </row>
    <row r="4">
      <c r="A4" t="inlineStr">
        <is>
          <t>bolt</t>
        </is>
      </c>
      <c r="B4" t="inlineStr">
        <is>
          <t>bolt_yaris_cross</t>
        </is>
      </c>
      <c r="C4" t="inlineStr">
        <is>
          <t>bolt_yaris_cross_48h</t>
        </is>
      </c>
      <c r="D4" t="inlineStr">
        <is>
          <t>48h + 800km</t>
        </is>
      </c>
      <c r="E4" t="inlineStr">
        <is>
          <t>PACKAGE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/>
      <c r="K4" t="inlineStr"/>
      <c r="L4" t="inlineStr">
        <is>
          <t>3.5</t>
        </is>
      </c>
      <c r="M4" t="inlineStr">
        <is>
          <t>0.13</t>
        </is>
      </c>
      <c r="N4" t="inlineStr">
        <is>
          <t>0.13</t>
        </is>
      </c>
      <c r="O4" t="inlineStr">
        <is>
          <t>0.13</t>
        </is>
      </c>
      <c r="P4" t="inlineStr">
        <is>
          <t>0.13</t>
        </is>
      </c>
      <c r="Q4" t="inlineStr">
        <is>
          <t>0.29</t>
        </is>
      </c>
      <c r="R4" t="inlineStr">
        <is>
          <t>FALSE</t>
        </is>
      </c>
      <c r="S4" t="inlineStr">
        <is>
          <t>FALSE</t>
        </is>
      </c>
      <c r="T4" t="inlineStr">
        <is>
          <t>64</t>
        </is>
      </c>
      <c r="U4" t="inlineStr">
        <is>
          <t>2880</t>
        </is>
      </c>
      <c r="V4" t="inlineStr">
        <is>
          <t>800</t>
        </is>
      </c>
      <c r="W4" t="inlineStr">
        <is>
          <t>0.15</t>
        </is>
      </c>
      <c r="X4" t="inlineStr"/>
      <c r="Y4" t="inlineStr"/>
      <c r="Z4" t="inlineStr"/>
      <c r="AA4" t="inlineStr"/>
      <c r="AB4" t="inlineStr"/>
      <c r="AC4" t="inlineStr"/>
      <c r="AD4" t="inlineStr">
        <is>
          <t>(in-app)</t>
        </is>
      </c>
      <c r="AE4" t="inlineStr">
        <is>
          <t>Fuel+parking not included</t>
        </is>
      </c>
    </row>
    <row r="5">
      <c r="A5" t="inlineStr">
        <is>
          <t>bolt</t>
        </is>
      </c>
      <c r="B5" t="inlineStr">
        <is>
          <t>bolt_yaris_cross</t>
        </is>
      </c>
      <c r="C5" t="inlineStr">
        <is>
          <t>bolt_yaris_cross_pkg_1h_5km</t>
        </is>
      </c>
      <c r="D5" t="inlineStr">
        <is>
          <t>1h + 5km</t>
        </is>
      </c>
      <c r="E5" t="inlineStr">
        <is>
          <t>PACKAGE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/>
      <c r="K5" t="inlineStr"/>
      <c r="L5" t="inlineStr">
        <is>
          <t>3.5</t>
        </is>
      </c>
      <c r="M5" t="inlineStr">
        <is>
          <t>0.13</t>
        </is>
      </c>
      <c r="N5" t="inlineStr">
        <is>
          <t>0.13</t>
        </is>
      </c>
      <c r="O5" t="inlineStr">
        <is>
          <t>0.13</t>
        </is>
      </c>
      <c r="P5" t="inlineStr">
        <is>
          <t>0.13</t>
        </is>
      </c>
      <c r="Q5" t="inlineStr">
        <is>
          <t>0.29</t>
        </is>
      </c>
      <c r="R5" t="inlineStr">
        <is>
          <t>TRUE</t>
        </is>
      </c>
      <c r="S5" t="inlineStr">
        <is>
          <t>TRUE</t>
        </is>
      </c>
      <c r="T5" t="inlineStr">
        <is>
          <t>6.99</t>
        </is>
      </c>
      <c r="U5" t="inlineStr">
        <is>
          <t>60</t>
        </is>
      </c>
      <c r="V5" t="inlineStr">
        <is>
          <t>5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(in-app)</t>
        </is>
      </c>
      <c r="AE5" t="inlineStr">
        <is>
          <t>Overage uses PAYG rates; airport fee is dropoff (MVP uses single toggle)</t>
        </is>
      </c>
    </row>
    <row r="6">
      <c r="A6" t="inlineStr">
        <is>
          <t>bolt</t>
        </is>
      </c>
      <c r="B6" t="inlineStr">
        <is>
          <t>bolt_yaris_cross</t>
        </is>
      </c>
      <c r="C6" t="inlineStr">
        <is>
          <t>bolt_yaris_cross_pkg_1h_10km</t>
        </is>
      </c>
      <c r="D6" t="inlineStr">
        <is>
          <t>1h + 10km</t>
        </is>
      </c>
      <c r="E6" t="inlineStr">
        <is>
          <t>PACKAGE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/>
      <c r="K6" t="inlineStr"/>
      <c r="L6" t="inlineStr">
        <is>
          <t>3.5</t>
        </is>
      </c>
      <c r="M6" t="inlineStr">
        <is>
          <t>0.13</t>
        </is>
      </c>
      <c r="N6" t="inlineStr">
        <is>
          <t>0.13</t>
        </is>
      </c>
      <c r="O6" t="inlineStr">
        <is>
          <t>0.13</t>
        </is>
      </c>
      <c r="P6" t="inlineStr">
        <is>
          <t>0.13</t>
        </is>
      </c>
      <c r="Q6" t="inlineStr">
        <is>
          <t>0.29</t>
        </is>
      </c>
      <c r="R6" t="inlineStr">
        <is>
          <t>TRUE</t>
        </is>
      </c>
      <c r="S6" t="inlineStr">
        <is>
          <t>TRUE</t>
        </is>
      </c>
      <c r="T6" t="inlineStr">
        <is>
          <t>8.30</t>
        </is>
      </c>
      <c r="U6" t="inlineStr">
        <is>
          <t>60</t>
        </is>
      </c>
      <c r="V6" t="inlineStr">
        <is>
          <t>10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(in-app)</t>
        </is>
      </c>
      <c r="AE6" t="inlineStr">
        <is>
          <t>Overage uses PAYG rates; airport fee is dropoff (MVP uses single toggle)</t>
        </is>
      </c>
    </row>
    <row r="7">
      <c r="A7" t="inlineStr">
        <is>
          <t>bolt</t>
        </is>
      </c>
      <c r="B7" t="inlineStr">
        <is>
          <t>bolt_yaris_cross</t>
        </is>
      </c>
      <c r="C7" t="inlineStr">
        <is>
          <t>bolt_yaris_cross_pkg_1h_20km</t>
        </is>
      </c>
      <c r="D7" t="inlineStr">
        <is>
          <t>1h + 20km</t>
        </is>
      </c>
      <c r="E7" t="inlineStr">
        <is>
          <t>PACKAGE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/>
      <c r="K7" t="inlineStr"/>
      <c r="L7" t="inlineStr">
        <is>
          <t>3.5</t>
        </is>
      </c>
      <c r="M7" t="inlineStr">
        <is>
          <t>0.13</t>
        </is>
      </c>
      <c r="N7" t="inlineStr">
        <is>
          <t>0.13</t>
        </is>
      </c>
      <c r="O7" t="inlineStr">
        <is>
          <t>0.13</t>
        </is>
      </c>
      <c r="P7" t="inlineStr">
        <is>
          <t>0.13</t>
        </is>
      </c>
      <c r="Q7" t="inlineStr">
        <is>
          <t>0.29</t>
        </is>
      </c>
      <c r="R7" t="inlineStr">
        <is>
          <t>TRUE</t>
        </is>
      </c>
      <c r="S7" t="inlineStr">
        <is>
          <t>TRUE</t>
        </is>
      </c>
      <c r="T7" t="inlineStr">
        <is>
          <t>11.10</t>
        </is>
      </c>
      <c r="U7" t="inlineStr">
        <is>
          <t>60</t>
        </is>
      </c>
      <c r="V7" t="inlineStr">
        <is>
          <t>20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(in-app)</t>
        </is>
      </c>
      <c r="AE7" t="inlineStr">
        <is>
          <t>Overage uses PAYG rates; airport fee is dropoff (MVP uses single toggle)</t>
        </is>
      </c>
    </row>
    <row r="8">
      <c r="A8" t="inlineStr">
        <is>
          <t>bolt</t>
        </is>
      </c>
      <c r="B8" t="inlineStr">
        <is>
          <t>bolt_yaris_cross</t>
        </is>
      </c>
      <c r="C8" t="inlineStr">
        <is>
          <t>bolt_yaris_cross_pkg_1h_30km</t>
        </is>
      </c>
      <c r="D8" t="inlineStr">
        <is>
          <t>1h + 30km</t>
        </is>
      </c>
      <c r="E8" t="inlineStr">
        <is>
          <t>PACKAGE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/>
      <c r="K8" t="inlineStr"/>
      <c r="L8" t="inlineStr">
        <is>
          <t>3.5</t>
        </is>
      </c>
      <c r="M8" t="inlineStr">
        <is>
          <t>0.13</t>
        </is>
      </c>
      <c r="N8" t="inlineStr">
        <is>
          <t>0.13</t>
        </is>
      </c>
      <c r="O8" t="inlineStr">
        <is>
          <t>0.13</t>
        </is>
      </c>
      <c r="P8" t="inlineStr">
        <is>
          <t>0.13</t>
        </is>
      </c>
      <c r="Q8" t="inlineStr">
        <is>
          <t>0.29</t>
        </is>
      </c>
      <c r="R8" t="inlineStr">
        <is>
          <t>TRUE</t>
        </is>
      </c>
      <c r="S8" t="inlineStr">
        <is>
          <t>TRUE</t>
        </is>
      </c>
      <c r="T8" t="inlineStr">
        <is>
          <t>13.80</t>
        </is>
      </c>
      <c r="U8" t="inlineStr">
        <is>
          <t>60</t>
        </is>
      </c>
      <c r="V8" t="inlineStr">
        <is>
          <t>30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(in-app)</t>
        </is>
      </c>
      <c r="AE8" t="inlineStr">
        <is>
          <t>Overage uses PAYG rates; airport fee is dropoff (MVP uses single toggle)</t>
        </is>
      </c>
    </row>
    <row r="9">
      <c r="A9" t="inlineStr">
        <is>
          <t>bolt</t>
        </is>
      </c>
      <c r="B9" t="inlineStr">
        <is>
          <t>bolt_yaris_cross</t>
        </is>
      </c>
      <c r="C9" t="inlineStr">
        <is>
          <t>bolt_yaris_cross_pkg_1h_50km</t>
        </is>
      </c>
      <c r="D9" t="inlineStr">
        <is>
          <t>1h + 50km</t>
        </is>
      </c>
      <c r="E9" t="inlineStr">
        <is>
          <t>PACKAGE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/>
      <c r="K9" t="inlineStr"/>
      <c r="L9" t="inlineStr">
        <is>
          <t>3.5</t>
        </is>
      </c>
      <c r="M9" t="inlineStr">
        <is>
          <t>0.13</t>
        </is>
      </c>
      <c r="N9" t="inlineStr">
        <is>
          <t>0.13</t>
        </is>
      </c>
      <c r="O9" t="inlineStr">
        <is>
          <t>0.13</t>
        </is>
      </c>
      <c r="P9" t="inlineStr">
        <is>
          <t>0.13</t>
        </is>
      </c>
      <c r="Q9" t="inlineStr">
        <is>
          <t>0.29</t>
        </is>
      </c>
      <c r="R9" t="inlineStr">
        <is>
          <t>TRUE</t>
        </is>
      </c>
      <c r="S9" t="inlineStr">
        <is>
          <t>TRUE</t>
        </is>
      </c>
      <c r="T9" t="inlineStr">
        <is>
          <t>19.40</t>
        </is>
      </c>
      <c r="U9" t="inlineStr">
        <is>
          <t>60</t>
        </is>
      </c>
      <c r="V9" t="inlineStr">
        <is>
          <t>50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(in-app)</t>
        </is>
      </c>
      <c r="AE9" t="inlineStr">
        <is>
          <t>Overage uses PAYG rates; airport fee is dropoff (MVP uses single toggle)</t>
        </is>
      </c>
    </row>
    <row r="10">
      <c r="A10" t="inlineStr">
        <is>
          <t>bolt</t>
        </is>
      </c>
      <c r="B10" t="inlineStr">
        <is>
          <t>bolt_yaris_cross</t>
        </is>
      </c>
      <c r="C10" t="inlineStr">
        <is>
          <t>bolt_yaris_cross_pkg_2h_10km</t>
        </is>
      </c>
      <c r="D10" t="inlineStr">
        <is>
          <t>2h + 10km</t>
        </is>
      </c>
      <c r="E10" t="inlineStr">
        <is>
          <t>PACKAGE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/>
      <c r="K10" t="inlineStr"/>
      <c r="L10" t="inlineStr">
        <is>
          <t>3.5</t>
        </is>
      </c>
      <c r="M10" t="inlineStr">
        <is>
          <t>0.13</t>
        </is>
      </c>
      <c r="N10" t="inlineStr">
        <is>
          <t>0.13</t>
        </is>
      </c>
      <c r="O10" t="inlineStr">
        <is>
          <t>0.13</t>
        </is>
      </c>
      <c r="P10" t="inlineStr">
        <is>
          <t>0.13</t>
        </is>
      </c>
      <c r="Q10" t="inlineStr">
        <is>
          <t>0.29</t>
        </is>
      </c>
      <c r="R10" t="inlineStr">
        <is>
          <t>TRUE</t>
        </is>
      </c>
      <c r="S10" t="inlineStr">
        <is>
          <t>TRUE</t>
        </is>
      </c>
      <c r="T10" t="inlineStr">
        <is>
          <t>13.99</t>
        </is>
      </c>
      <c r="U10" t="inlineStr">
        <is>
          <t>120</t>
        </is>
      </c>
      <c r="V10" t="inlineStr">
        <is>
          <t>10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(in-app)</t>
        </is>
      </c>
      <c r="AE10" t="inlineStr">
        <is>
          <t>Overage uses PAYG rates; airport fee is dropoff (MVP uses single toggle)</t>
        </is>
      </c>
    </row>
    <row r="11">
      <c r="A11" t="inlineStr">
        <is>
          <t>bolt</t>
        </is>
      </c>
      <c r="B11" t="inlineStr">
        <is>
          <t>bolt_yaris_cross</t>
        </is>
      </c>
      <c r="C11" t="inlineStr">
        <is>
          <t>bolt_yaris_cross_pkg_2h_20km</t>
        </is>
      </c>
      <c r="D11" t="inlineStr">
        <is>
          <t>2h + 20km</t>
        </is>
      </c>
      <c r="E11" t="inlineStr">
        <is>
          <t>PACKAGE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/>
      <c r="K11" t="inlineStr"/>
      <c r="L11" t="inlineStr">
        <is>
          <t>3.5</t>
        </is>
      </c>
      <c r="M11" t="inlineStr">
        <is>
          <t>0.13</t>
        </is>
      </c>
      <c r="N11" t="inlineStr">
        <is>
          <t>0.13</t>
        </is>
      </c>
      <c r="O11" t="inlineStr">
        <is>
          <t>0.13</t>
        </is>
      </c>
      <c r="P11" t="inlineStr">
        <is>
          <t>0.13</t>
        </is>
      </c>
      <c r="Q11" t="inlineStr">
        <is>
          <t>0.29</t>
        </is>
      </c>
      <c r="R11" t="inlineStr">
        <is>
          <t>TRUE</t>
        </is>
      </c>
      <c r="S11" t="inlineStr">
        <is>
          <t>TRUE</t>
        </is>
      </c>
      <c r="T11" t="inlineStr">
        <is>
          <t>16.70</t>
        </is>
      </c>
      <c r="U11" t="inlineStr">
        <is>
          <t>120</t>
        </is>
      </c>
      <c r="V11" t="inlineStr">
        <is>
          <t>20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(in-app)</t>
        </is>
      </c>
      <c r="AE11" t="inlineStr">
        <is>
          <t>Overage uses PAYG rates; airport fee is dropoff (MVP uses single toggle)</t>
        </is>
      </c>
    </row>
    <row r="12">
      <c r="A12" t="inlineStr">
        <is>
          <t>bolt</t>
        </is>
      </c>
      <c r="B12" t="inlineStr">
        <is>
          <t>bolt_yaris_cross</t>
        </is>
      </c>
      <c r="C12" t="inlineStr">
        <is>
          <t>bolt_yaris_cross_pkg_2h_30km</t>
        </is>
      </c>
      <c r="D12" t="inlineStr">
        <is>
          <t>2h + 30km</t>
        </is>
      </c>
      <c r="E12" t="inlineStr">
        <is>
          <t>PACKAGE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/>
      <c r="K12" t="inlineStr"/>
      <c r="L12" t="inlineStr">
        <is>
          <t>3.5</t>
        </is>
      </c>
      <c r="M12" t="inlineStr">
        <is>
          <t>0.13</t>
        </is>
      </c>
      <c r="N12" t="inlineStr">
        <is>
          <t>0.13</t>
        </is>
      </c>
      <c r="O12" t="inlineStr">
        <is>
          <t>0.13</t>
        </is>
      </c>
      <c r="P12" t="inlineStr">
        <is>
          <t>0.13</t>
        </is>
      </c>
      <c r="Q12" t="inlineStr">
        <is>
          <t>0.29</t>
        </is>
      </c>
      <c r="R12" t="inlineStr">
        <is>
          <t>TRUE</t>
        </is>
      </c>
      <c r="S12" t="inlineStr">
        <is>
          <t>TRUE</t>
        </is>
      </c>
      <c r="T12" t="inlineStr">
        <is>
          <t>19.50</t>
        </is>
      </c>
      <c r="U12" t="inlineStr">
        <is>
          <t>120</t>
        </is>
      </c>
      <c r="V12" t="inlineStr">
        <is>
          <t>30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(in-app)</t>
        </is>
      </c>
      <c r="AE12" t="inlineStr">
        <is>
          <t>Overage uses PAYG rates; airport fee is dropoff (MVP uses single toggle)</t>
        </is>
      </c>
    </row>
    <row r="13">
      <c r="A13" t="inlineStr">
        <is>
          <t>bolt</t>
        </is>
      </c>
      <c r="B13" t="inlineStr">
        <is>
          <t>bolt_yaris_cross</t>
        </is>
      </c>
      <c r="C13" t="inlineStr">
        <is>
          <t>bolt_yaris_cross_pkg_2h_50km</t>
        </is>
      </c>
      <c r="D13" t="inlineStr">
        <is>
          <t>2h + 50km</t>
        </is>
      </c>
      <c r="E13" t="inlineStr">
        <is>
          <t>PACKAGE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/>
      <c r="K13" t="inlineStr"/>
      <c r="L13" t="inlineStr">
        <is>
          <t>3.5</t>
        </is>
      </c>
      <c r="M13" t="inlineStr">
        <is>
          <t>0.13</t>
        </is>
      </c>
      <c r="N13" t="inlineStr">
        <is>
          <t>0.13</t>
        </is>
      </c>
      <c r="O13" t="inlineStr">
        <is>
          <t>0.13</t>
        </is>
      </c>
      <c r="P13" t="inlineStr">
        <is>
          <t>0.13</t>
        </is>
      </c>
      <c r="Q13" t="inlineStr">
        <is>
          <t>0.29</t>
        </is>
      </c>
      <c r="R13" t="inlineStr">
        <is>
          <t>TRUE</t>
        </is>
      </c>
      <c r="S13" t="inlineStr">
        <is>
          <t>TRUE</t>
        </is>
      </c>
      <c r="T13" t="inlineStr">
        <is>
          <t>24.99</t>
        </is>
      </c>
      <c r="U13" t="inlineStr">
        <is>
          <t>120</t>
        </is>
      </c>
      <c r="V13" t="inlineStr">
        <is>
          <t>50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(in-app)</t>
        </is>
      </c>
      <c r="AE13" t="inlineStr">
        <is>
          <t>Overage uses PAYG rates; airport fee is dropoff (MVP uses single toggle)</t>
        </is>
      </c>
    </row>
    <row r="14">
      <c r="A14" t="inlineStr">
        <is>
          <t>bolt</t>
        </is>
      </c>
      <c r="B14" t="inlineStr">
        <is>
          <t>bolt_yaris_cross</t>
        </is>
      </c>
      <c r="C14" t="inlineStr">
        <is>
          <t>bolt_yaris_cross_pkg_2h_75km</t>
        </is>
      </c>
      <c r="D14" t="inlineStr">
        <is>
          <t>2h + 75km</t>
        </is>
      </c>
      <c r="E14" t="inlineStr">
        <is>
          <t>PACKAGE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/>
      <c r="K14" t="inlineStr"/>
      <c r="L14" t="inlineStr">
        <is>
          <t>3.5</t>
        </is>
      </c>
      <c r="M14" t="inlineStr">
        <is>
          <t>0.13</t>
        </is>
      </c>
      <c r="N14" t="inlineStr">
        <is>
          <t>0.13</t>
        </is>
      </c>
      <c r="O14" t="inlineStr">
        <is>
          <t>0.13</t>
        </is>
      </c>
      <c r="P14" t="inlineStr">
        <is>
          <t>0.13</t>
        </is>
      </c>
      <c r="Q14" t="inlineStr">
        <is>
          <t>0.29</t>
        </is>
      </c>
      <c r="R14" t="inlineStr">
        <is>
          <t>TRUE</t>
        </is>
      </c>
      <c r="S14" t="inlineStr">
        <is>
          <t>TRUE</t>
        </is>
      </c>
      <c r="T14" t="inlineStr">
        <is>
          <t>31.90</t>
        </is>
      </c>
      <c r="U14" t="inlineStr">
        <is>
          <t>120</t>
        </is>
      </c>
      <c r="V14" t="inlineStr">
        <is>
          <t>75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(in-app)</t>
        </is>
      </c>
      <c r="AE14" t="inlineStr">
        <is>
          <t>Overage uses PAYG rates; airport fee is dropoff (MVP uses single toggle)</t>
        </is>
      </c>
    </row>
    <row r="15">
      <c r="A15" t="inlineStr">
        <is>
          <t>bolt</t>
        </is>
      </c>
      <c r="B15" t="inlineStr">
        <is>
          <t>bolt_yaris_cross</t>
        </is>
      </c>
      <c r="C15" t="inlineStr">
        <is>
          <t>bolt_yaris_cross_pkg_2h_100km</t>
        </is>
      </c>
      <c r="D15" t="inlineStr">
        <is>
          <t>2h + 100km</t>
        </is>
      </c>
      <c r="E15" t="inlineStr">
        <is>
          <t>PACKAGE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/>
      <c r="K15" t="inlineStr"/>
      <c r="L15" t="inlineStr">
        <is>
          <t>3.5</t>
        </is>
      </c>
      <c r="M15" t="inlineStr">
        <is>
          <t>0.13</t>
        </is>
      </c>
      <c r="N15" t="inlineStr">
        <is>
          <t>0.13</t>
        </is>
      </c>
      <c r="O15" t="inlineStr">
        <is>
          <t>0.13</t>
        </is>
      </c>
      <c r="P15" t="inlineStr">
        <is>
          <t>0.13</t>
        </is>
      </c>
      <c r="Q15" t="inlineStr">
        <is>
          <t>0.29</t>
        </is>
      </c>
      <c r="R15" t="inlineStr">
        <is>
          <t>TRUE</t>
        </is>
      </c>
      <c r="S15" t="inlineStr">
        <is>
          <t>TRUE</t>
        </is>
      </c>
      <c r="T15" t="inlineStr">
        <is>
          <t>38.70</t>
        </is>
      </c>
      <c r="U15" t="inlineStr">
        <is>
          <t>120</t>
        </is>
      </c>
      <c r="V15" t="inlineStr">
        <is>
          <t>100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(in-app)</t>
        </is>
      </c>
      <c r="AE15" t="inlineStr">
        <is>
          <t>Overage uses PAYG rates; airport fee is dropoff (MVP uses single toggle)</t>
        </is>
      </c>
    </row>
    <row r="16">
      <c r="A16" t="inlineStr">
        <is>
          <t>bolt</t>
        </is>
      </c>
      <c r="B16" t="inlineStr">
        <is>
          <t>bolt_yaris_cross</t>
        </is>
      </c>
      <c r="C16" t="inlineStr">
        <is>
          <t>bolt_yaris_cross_pkg_3h_10km</t>
        </is>
      </c>
      <c r="D16" t="inlineStr">
        <is>
          <t>3h + 10km</t>
        </is>
      </c>
      <c r="E16" t="inlineStr">
        <is>
          <t>PACKAGE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/>
      <c r="K16" t="inlineStr"/>
      <c r="L16" t="inlineStr">
        <is>
          <t>3.5</t>
        </is>
      </c>
      <c r="M16" t="inlineStr">
        <is>
          <t>0.13</t>
        </is>
      </c>
      <c r="N16" t="inlineStr">
        <is>
          <t>0.13</t>
        </is>
      </c>
      <c r="O16" t="inlineStr">
        <is>
          <t>0.13</t>
        </is>
      </c>
      <c r="P16" t="inlineStr">
        <is>
          <t>0.13</t>
        </is>
      </c>
      <c r="Q16" t="inlineStr">
        <is>
          <t>0.29</t>
        </is>
      </c>
      <c r="R16" t="inlineStr">
        <is>
          <t>TRUE</t>
        </is>
      </c>
      <c r="S16" t="inlineStr">
        <is>
          <t>TRUE</t>
        </is>
      </c>
      <c r="T16" t="inlineStr">
        <is>
          <t>19.60</t>
        </is>
      </c>
      <c r="U16" t="inlineStr">
        <is>
          <t>180</t>
        </is>
      </c>
      <c r="V16" t="inlineStr">
        <is>
          <t>10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(in-app)</t>
        </is>
      </c>
      <c r="AE16" t="inlineStr">
        <is>
          <t>Overage uses PAYG rates; airport fee is dropoff (MVP uses single toggle)</t>
        </is>
      </c>
    </row>
    <row r="17">
      <c r="A17" t="inlineStr">
        <is>
          <t>bolt</t>
        </is>
      </c>
      <c r="B17" t="inlineStr">
        <is>
          <t>bolt_yaris_cross</t>
        </is>
      </c>
      <c r="C17" t="inlineStr">
        <is>
          <t>bolt_yaris_cross_pkg_3h_20km</t>
        </is>
      </c>
      <c r="D17" t="inlineStr">
        <is>
          <t>3h + 20km</t>
        </is>
      </c>
      <c r="E17" t="inlineStr">
        <is>
          <t>PACKAGE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/>
      <c r="K17" t="inlineStr"/>
      <c r="L17" t="inlineStr">
        <is>
          <t>3.5</t>
        </is>
      </c>
      <c r="M17" t="inlineStr">
        <is>
          <t>0.13</t>
        </is>
      </c>
      <c r="N17" t="inlineStr">
        <is>
          <t>0.13</t>
        </is>
      </c>
      <c r="O17" t="inlineStr">
        <is>
          <t>0.13</t>
        </is>
      </c>
      <c r="P17" t="inlineStr">
        <is>
          <t>0.13</t>
        </is>
      </c>
      <c r="Q17" t="inlineStr">
        <is>
          <t>0.29</t>
        </is>
      </c>
      <c r="R17" t="inlineStr">
        <is>
          <t>TRUE</t>
        </is>
      </c>
      <c r="S17" t="inlineStr">
        <is>
          <t>TRUE</t>
        </is>
      </c>
      <c r="T17" t="inlineStr">
        <is>
          <t>22.30</t>
        </is>
      </c>
      <c r="U17" t="inlineStr">
        <is>
          <t>180</t>
        </is>
      </c>
      <c r="V17" t="inlineStr">
        <is>
          <t>20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(in-app)</t>
        </is>
      </c>
      <c r="AE17" t="inlineStr">
        <is>
          <t>Overage uses PAYG rates; airport fee is dropoff (MVP uses single toggle)</t>
        </is>
      </c>
    </row>
    <row r="18">
      <c r="A18" t="inlineStr">
        <is>
          <t>bolt</t>
        </is>
      </c>
      <c r="B18" t="inlineStr">
        <is>
          <t>bolt_yaris_cross</t>
        </is>
      </c>
      <c r="C18" t="inlineStr">
        <is>
          <t>bolt_yaris_cross_pkg_3h_30km</t>
        </is>
      </c>
      <c r="D18" t="inlineStr">
        <is>
          <t>3h + 30km</t>
        </is>
      </c>
      <c r="E18" t="inlineStr">
        <is>
          <t>PACKAGE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3.5</t>
        </is>
      </c>
      <c r="M18" t="inlineStr">
        <is>
          <t>0.13</t>
        </is>
      </c>
      <c r="N18" t="inlineStr">
        <is>
          <t>0.13</t>
        </is>
      </c>
      <c r="O18" t="inlineStr">
        <is>
          <t>0.13</t>
        </is>
      </c>
      <c r="P18" t="inlineStr">
        <is>
          <t>0.13</t>
        </is>
      </c>
      <c r="Q18" t="inlineStr">
        <is>
          <t>0.29</t>
        </is>
      </c>
      <c r="R18" t="inlineStr">
        <is>
          <t>TRUE</t>
        </is>
      </c>
      <c r="S18" t="inlineStr">
        <is>
          <t>TRUE</t>
        </is>
      </c>
      <c r="T18" t="inlineStr">
        <is>
          <t>25.10</t>
        </is>
      </c>
      <c r="U18" t="inlineStr">
        <is>
          <t>180</t>
        </is>
      </c>
      <c r="V18" t="inlineStr">
        <is>
          <t>30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(in-app)</t>
        </is>
      </c>
      <c r="AE18" t="inlineStr">
        <is>
          <t>Overage uses PAYG rates; airport fee is dropoff (MVP uses single toggle)</t>
        </is>
      </c>
    </row>
    <row r="19">
      <c r="A19" t="inlineStr">
        <is>
          <t>bolt</t>
        </is>
      </c>
      <c r="B19" t="inlineStr">
        <is>
          <t>bolt_yaris_cross</t>
        </is>
      </c>
      <c r="C19" t="inlineStr">
        <is>
          <t>bolt_yaris_cross_pkg_3h_50km</t>
        </is>
      </c>
      <c r="D19" t="inlineStr">
        <is>
          <t>3h + 50km</t>
        </is>
      </c>
      <c r="E19" t="inlineStr">
        <is>
          <t>PACKAGE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/>
      <c r="K19" t="inlineStr"/>
      <c r="L19" t="inlineStr">
        <is>
          <t>3.5</t>
        </is>
      </c>
      <c r="M19" t="inlineStr">
        <is>
          <t>0.13</t>
        </is>
      </c>
      <c r="N19" t="inlineStr">
        <is>
          <t>0.13</t>
        </is>
      </c>
      <c r="O19" t="inlineStr">
        <is>
          <t>0.13</t>
        </is>
      </c>
      <c r="P19" t="inlineStr">
        <is>
          <t>0.13</t>
        </is>
      </c>
      <c r="Q19" t="inlineStr">
        <is>
          <t>0.29</t>
        </is>
      </c>
      <c r="R19" t="inlineStr">
        <is>
          <t>TRUE</t>
        </is>
      </c>
      <c r="S19" t="inlineStr">
        <is>
          <t>TRUE</t>
        </is>
      </c>
      <c r="T19" t="inlineStr">
        <is>
          <t>30.60</t>
        </is>
      </c>
      <c r="U19" t="inlineStr">
        <is>
          <t>180</t>
        </is>
      </c>
      <c r="V19" t="inlineStr">
        <is>
          <t>50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(in-app)</t>
        </is>
      </c>
      <c r="AE19" t="inlineStr">
        <is>
          <t>Overage uses PAYG rates; airport fee is dropoff (MVP uses single toggle)</t>
        </is>
      </c>
    </row>
    <row r="20">
      <c r="A20" t="inlineStr">
        <is>
          <t>bolt</t>
        </is>
      </c>
      <c r="B20" t="inlineStr">
        <is>
          <t>bolt_yaris_cross</t>
        </is>
      </c>
      <c r="C20" t="inlineStr">
        <is>
          <t>bolt_yaris_cross_pkg_3h_75km</t>
        </is>
      </c>
      <c r="D20" t="inlineStr">
        <is>
          <t>3h + 75km</t>
        </is>
      </c>
      <c r="E20" t="inlineStr">
        <is>
          <t>PACKAGE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/>
      <c r="K20" t="inlineStr"/>
      <c r="L20" t="inlineStr">
        <is>
          <t>3.5</t>
        </is>
      </c>
      <c r="M20" t="inlineStr">
        <is>
          <t>0.13</t>
        </is>
      </c>
      <c r="N20" t="inlineStr">
        <is>
          <t>0.13</t>
        </is>
      </c>
      <c r="O20" t="inlineStr">
        <is>
          <t>0.13</t>
        </is>
      </c>
      <c r="P20" t="inlineStr">
        <is>
          <t>0.13</t>
        </is>
      </c>
      <c r="Q20" t="inlineStr">
        <is>
          <t>0.29</t>
        </is>
      </c>
      <c r="R20" t="inlineStr">
        <is>
          <t>TRUE</t>
        </is>
      </c>
      <c r="S20" t="inlineStr">
        <is>
          <t>TRUE</t>
        </is>
      </c>
      <c r="T20" t="inlineStr">
        <is>
          <t>37.50</t>
        </is>
      </c>
      <c r="U20" t="inlineStr">
        <is>
          <t>180</t>
        </is>
      </c>
      <c r="V20" t="inlineStr">
        <is>
          <t>75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(in-app)</t>
        </is>
      </c>
      <c r="AE20" t="inlineStr">
        <is>
          <t>Overage uses PAYG rates; airport fee is dropoff (MVP uses single toggle)</t>
        </is>
      </c>
    </row>
    <row r="21">
      <c r="A21" t="inlineStr">
        <is>
          <t>bolt</t>
        </is>
      </c>
      <c r="B21" t="inlineStr">
        <is>
          <t>bolt_yaris_cross</t>
        </is>
      </c>
      <c r="C21" t="inlineStr">
        <is>
          <t>bolt_yaris_cross_pkg_3h_100km</t>
        </is>
      </c>
      <c r="D21" t="inlineStr">
        <is>
          <t>3h + 100km</t>
        </is>
      </c>
      <c r="E21" t="inlineStr">
        <is>
          <t>PACKAGE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/>
      <c r="K21" t="inlineStr"/>
      <c r="L21" t="inlineStr">
        <is>
          <t>3.5</t>
        </is>
      </c>
      <c r="M21" t="inlineStr">
        <is>
          <t>0.13</t>
        </is>
      </c>
      <c r="N21" t="inlineStr">
        <is>
          <t>0.13</t>
        </is>
      </c>
      <c r="O21" t="inlineStr">
        <is>
          <t>0.13</t>
        </is>
      </c>
      <c r="P21" t="inlineStr">
        <is>
          <t>0.13</t>
        </is>
      </c>
      <c r="Q21" t="inlineStr">
        <is>
          <t>0.29</t>
        </is>
      </c>
      <c r="R21" t="inlineStr">
        <is>
          <t>TRUE</t>
        </is>
      </c>
      <c r="S21" t="inlineStr">
        <is>
          <t>TRUE</t>
        </is>
      </c>
      <c r="T21" t="inlineStr">
        <is>
          <t>44.40</t>
        </is>
      </c>
      <c r="U21" t="inlineStr">
        <is>
          <t>180</t>
        </is>
      </c>
      <c r="V21" t="inlineStr">
        <is>
          <t>100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(in-app)</t>
        </is>
      </c>
      <c r="AE21" t="inlineStr">
        <is>
          <t>Overage uses PAYG rates; airport fee is dropoff (MVP uses single toggle)</t>
        </is>
      </c>
    </row>
    <row r="22">
      <c r="A22" t="inlineStr">
        <is>
          <t>bolt</t>
        </is>
      </c>
      <c r="B22" t="inlineStr">
        <is>
          <t>bolt_yaris_cross</t>
        </is>
      </c>
      <c r="C22" t="inlineStr">
        <is>
          <t>bolt_yaris_cross_pkg_6h_20km</t>
        </is>
      </c>
      <c r="D22" t="inlineStr">
        <is>
          <t>6h + 20km</t>
        </is>
      </c>
      <c r="E22" t="inlineStr">
        <is>
          <t>PACKAGE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/>
      <c r="K22" t="inlineStr"/>
      <c r="L22" t="inlineStr">
        <is>
          <t>3.5</t>
        </is>
      </c>
      <c r="M22" t="inlineStr">
        <is>
          <t>0.13</t>
        </is>
      </c>
      <c r="N22" t="inlineStr">
        <is>
          <t>0.13</t>
        </is>
      </c>
      <c r="O22" t="inlineStr">
        <is>
          <t>0.13</t>
        </is>
      </c>
      <c r="P22" t="inlineStr">
        <is>
          <t>0.13</t>
        </is>
      </c>
      <c r="Q22" t="inlineStr">
        <is>
          <t>0.29</t>
        </is>
      </c>
      <c r="R22" t="inlineStr">
        <is>
          <t>TRUE</t>
        </is>
      </c>
      <c r="S22" t="inlineStr">
        <is>
          <t>TRUE</t>
        </is>
      </c>
      <c r="T22" t="inlineStr">
        <is>
          <t>23.40</t>
        </is>
      </c>
      <c r="U22" t="inlineStr">
        <is>
          <t>360</t>
        </is>
      </c>
      <c r="V22" t="inlineStr">
        <is>
          <t>20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(in-app)</t>
        </is>
      </c>
      <c r="AE22" t="inlineStr">
        <is>
          <t>Overage uses PAYG rates; airport fee is dropoff (MVP uses single toggle)</t>
        </is>
      </c>
    </row>
    <row r="23">
      <c r="A23" t="inlineStr">
        <is>
          <t>bolt</t>
        </is>
      </c>
      <c r="B23" t="inlineStr">
        <is>
          <t>bolt_yaris_cross</t>
        </is>
      </c>
      <c r="C23" t="inlineStr">
        <is>
          <t>bolt_yaris_cross_pkg_6h_30km</t>
        </is>
      </c>
      <c r="D23" t="inlineStr">
        <is>
          <t>6h + 30km</t>
        </is>
      </c>
      <c r="E23" t="inlineStr">
        <is>
          <t>PACKAGE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/>
      <c r="K23" t="inlineStr"/>
      <c r="L23" t="inlineStr">
        <is>
          <t>3.5</t>
        </is>
      </c>
      <c r="M23" t="inlineStr">
        <is>
          <t>0.13</t>
        </is>
      </c>
      <c r="N23" t="inlineStr">
        <is>
          <t>0.13</t>
        </is>
      </c>
      <c r="O23" t="inlineStr">
        <is>
          <t>0.13</t>
        </is>
      </c>
      <c r="P23" t="inlineStr">
        <is>
          <t>0.13</t>
        </is>
      </c>
      <c r="Q23" t="inlineStr">
        <is>
          <t>0.29</t>
        </is>
      </c>
      <c r="R23" t="inlineStr">
        <is>
          <t>TRUE</t>
        </is>
      </c>
      <c r="S23" t="inlineStr">
        <is>
          <t>TRUE</t>
        </is>
      </c>
      <c r="T23" t="inlineStr">
        <is>
          <t>26.10</t>
        </is>
      </c>
      <c r="U23" t="inlineStr">
        <is>
          <t>360</t>
        </is>
      </c>
      <c r="V23" t="inlineStr">
        <is>
          <t>30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(in-app)</t>
        </is>
      </c>
      <c r="AE23" t="inlineStr">
        <is>
          <t>Overage uses PAYG rates; airport fee is dropoff (MVP uses single toggle)</t>
        </is>
      </c>
    </row>
    <row r="24">
      <c r="A24" t="inlineStr">
        <is>
          <t>bolt</t>
        </is>
      </c>
      <c r="B24" t="inlineStr">
        <is>
          <t>bolt_yaris_cross</t>
        </is>
      </c>
      <c r="C24" t="inlineStr">
        <is>
          <t>bolt_yaris_cross_pkg_6h_50km</t>
        </is>
      </c>
      <c r="D24" t="inlineStr">
        <is>
          <t>6h + 50km</t>
        </is>
      </c>
      <c r="E24" t="inlineStr">
        <is>
          <t>PACKAGE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/>
      <c r="K24" t="inlineStr"/>
      <c r="L24" t="inlineStr">
        <is>
          <t>3.5</t>
        </is>
      </c>
      <c r="M24" t="inlineStr">
        <is>
          <t>0.13</t>
        </is>
      </c>
      <c r="N24" t="inlineStr">
        <is>
          <t>0.13</t>
        </is>
      </c>
      <c r="O24" t="inlineStr">
        <is>
          <t>0.13</t>
        </is>
      </c>
      <c r="P24" t="inlineStr">
        <is>
          <t>0.13</t>
        </is>
      </c>
      <c r="Q24" t="inlineStr">
        <is>
          <t>0.29</t>
        </is>
      </c>
      <c r="R24" t="inlineStr">
        <is>
          <t>TRUE</t>
        </is>
      </c>
      <c r="S24" t="inlineStr">
        <is>
          <t>TRUE</t>
        </is>
      </c>
      <c r="T24" t="inlineStr">
        <is>
          <t>31.60</t>
        </is>
      </c>
      <c r="U24" t="inlineStr">
        <is>
          <t>360</t>
        </is>
      </c>
      <c r="V24" t="inlineStr">
        <is>
          <t>50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(in-app)</t>
        </is>
      </c>
      <c r="AE24" t="inlineStr">
        <is>
          <t>Overage uses PAYG rates; airport fee is dropoff (MVP uses single toggle)</t>
        </is>
      </c>
    </row>
    <row r="25">
      <c r="A25" t="inlineStr">
        <is>
          <t>bolt</t>
        </is>
      </c>
      <c r="B25" t="inlineStr">
        <is>
          <t>bolt_yaris_cross</t>
        </is>
      </c>
      <c r="C25" t="inlineStr">
        <is>
          <t>bolt_yaris_cross_pkg_6h_75km</t>
        </is>
      </c>
      <c r="D25" t="inlineStr">
        <is>
          <t>6h + 75km</t>
        </is>
      </c>
      <c r="E25" t="inlineStr">
        <is>
          <t>PACKAGE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/>
      <c r="K25" t="inlineStr"/>
      <c r="L25" t="inlineStr">
        <is>
          <t>3.5</t>
        </is>
      </c>
      <c r="M25" t="inlineStr">
        <is>
          <t>0.13</t>
        </is>
      </c>
      <c r="N25" t="inlineStr">
        <is>
          <t>0.13</t>
        </is>
      </c>
      <c r="O25" t="inlineStr">
        <is>
          <t>0.13</t>
        </is>
      </c>
      <c r="P25" t="inlineStr">
        <is>
          <t>0.13</t>
        </is>
      </c>
      <c r="Q25" t="inlineStr">
        <is>
          <t>0.29</t>
        </is>
      </c>
      <c r="R25" t="inlineStr">
        <is>
          <t>TRUE</t>
        </is>
      </c>
      <c r="S25" t="inlineStr">
        <is>
          <t>TRUE</t>
        </is>
      </c>
      <c r="T25" t="inlineStr">
        <is>
          <t>38.50</t>
        </is>
      </c>
      <c r="U25" t="inlineStr">
        <is>
          <t>360</t>
        </is>
      </c>
      <c r="V25" t="inlineStr">
        <is>
          <t>75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(in-app)</t>
        </is>
      </c>
      <c r="AE25" t="inlineStr">
        <is>
          <t>Overage uses PAYG rates; airport fee is dropoff (MVP uses single toggle)</t>
        </is>
      </c>
    </row>
    <row r="26">
      <c r="A26" t="inlineStr">
        <is>
          <t>bolt</t>
        </is>
      </c>
      <c r="B26" t="inlineStr">
        <is>
          <t>bolt_yaris_cross</t>
        </is>
      </c>
      <c r="C26" t="inlineStr">
        <is>
          <t>bolt_yaris_cross_pkg_6h_100km</t>
        </is>
      </c>
      <c r="D26" t="inlineStr">
        <is>
          <t>6h + 100km</t>
        </is>
      </c>
      <c r="E26" t="inlineStr">
        <is>
          <t>PACKAGE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/>
      <c r="K26" t="inlineStr"/>
      <c r="L26" t="inlineStr">
        <is>
          <t>3.5</t>
        </is>
      </c>
      <c r="M26" t="inlineStr">
        <is>
          <t>0.13</t>
        </is>
      </c>
      <c r="N26" t="inlineStr">
        <is>
          <t>0.13</t>
        </is>
      </c>
      <c r="O26" t="inlineStr">
        <is>
          <t>0.13</t>
        </is>
      </c>
      <c r="P26" t="inlineStr">
        <is>
          <t>0.13</t>
        </is>
      </c>
      <c r="Q26" t="inlineStr">
        <is>
          <t>0.29</t>
        </is>
      </c>
      <c r="R26" t="inlineStr">
        <is>
          <t>TRUE</t>
        </is>
      </c>
      <c r="S26" t="inlineStr">
        <is>
          <t>TRUE</t>
        </is>
      </c>
      <c r="T26" t="inlineStr">
        <is>
          <t>45.40</t>
        </is>
      </c>
      <c r="U26" t="inlineStr">
        <is>
          <t>360</t>
        </is>
      </c>
      <c r="V26" t="inlineStr">
        <is>
          <t>100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(in-app)</t>
        </is>
      </c>
      <c r="AE26" t="inlineStr">
        <is>
          <t>Overage uses PAYG rates; airport fee is dropoff (MVP uses single toggle)</t>
        </is>
      </c>
    </row>
    <row r="27">
      <c r="A27" t="inlineStr">
        <is>
          <t>bolt</t>
        </is>
      </c>
      <c r="B27" t="inlineStr">
        <is>
          <t>bolt_yaris_cross</t>
        </is>
      </c>
      <c r="C27" t="inlineStr">
        <is>
          <t>bolt_yaris_cross_pkg_6h_150km</t>
        </is>
      </c>
      <c r="D27" t="inlineStr">
        <is>
          <t>6h + 150km</t>
        </is>
      </c>
      <c r="E27" t="inlineStr">
        <is>
          <t>PACKAGE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/>
      <c r="K27" t="inlineStr"/>
      <c r="L27" t="inlineStr">
        <is>
          <t>3.5</t>
        </is>
      </c>
      <c r="M27" t="inlineStr">
        <is>
          <t>0.13</t>
        </is>
      </c>
      <c r="N27" t="inlineStr">
        <is>
          <t>0.13</t>
        </is>
      </c>
      <c r="O27" t="inlineStr">
        <is>
          <t>0.13</t>
        </is>
      </c>
      <c r="P27" t="inlineStr">
        <is>
          <t>0.13</t>
        </is>
      </c>
      <c r="Q27" t="inlineStr">
        <is>
          <t>0.29</t>
        </is>
      </c>
      <c r="R27" t="inlineStr">
        <is>
          <t>TRUE</t>
        </is>
      </c>
      <c r="S27" t="inlineStr">
        <is>
          <t>TRUE</t>
        </is>
      </c>
      <c r="T27" t="inlineStr">
        <is>
          <t>59.20</t>
        </is>
      </c>
      <c r="U27" t="inlineStr">
        <is>
          <t>360</t>
        </is>
      </c>
      <c r="V27" t="inlineStr">
        <is>
          <t>150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(in-app)</t>
        </is>
      </c>
      <c r="AE27" t="inlineStr">
        <is>
          <t>Overage uses PAYG rates; airport fee is dropoff (MVP uses single toggle)</t>
        </is>
      </c>
    </row>
    <row r="28">
      <c r="A28" t="inlineStr">
        <is>
          <t>bolt</t>
        </is>
      </c>
      <c r="B28" t="inlineStr">
        <is>
          <t>bolt_yaris_cross</t>
        </is>
      </c>
      <c r="C28" t="inlineStr">
        <is>
          <t>bolt_yaris_cross_pkg_6h_250km</t>
        </is>
      </c>
      <c r="D28" t="inlineStr">
        <is>
          <t>6h + 250km</t>
        </is>
      </c>
      <c r="E28" t="inlineStr">
        <is>
          <t>PACKAGE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/>
      <c r="K28" t="inlineStr"/>
      <c r="L28" t="inlineStr">
        <is>
          <t>3.5</t>
        </is>
      </c>
      <c r="M28" t="inlineStr">
        <is>
          <t>0.13</t>
        </is>
      </c>
      <c r="N28" t="inlineStr">
        <is>
          <t>0.13</t>
        </is>
      </c>
      <c r="O28" t="inlineStr">
        <is>
          <t>0.13</t>
        </is>
      </c>
      <c r="P28" t="inlineStr">
        <is>
          <t>0.13</t>
        </is>
      </c>
      <c r="Q28" t="inlineStr">
        <is>
          <t>0.29</t>
        </is>
      </c>
      <c r="R28" t="inlineStr">
        <is>
          <t>TRUE</t>
        </is>
      </c>
      <c r="S28" t="inlineStr">
        <is>
          <t>TRUE</t>
        </is>
      </c>
      <c r="T28" t="inlineStr">
        <is>
          <t>86.70</t>
        </is>
      </c>
      <c r="U28" t="inlineStr">
        <is>
          <t>360</t>
        </is>
      </c>
      <c r="V28" t="inlineStr">
        <is>
          <t>250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(in-app)</t>
        </is>
      </c>
      <c r="AE28" t="inlineStr">
        <is>
          <t>Overage uses PAYG rates; airport fee is dropoff (MVP uses single toggle)</t>
        </is>
      </c>
    </row>
    <row r="29">
      <c r="A29" t="inlineStr">
        <is>
          <t>bolt</t>
        </is>
      </c>
      <c r="B29" t="inlineStr">
        <is>
          <t>bolt_yaris_cross</t>
        </is>
      </c>
      <c r="C29" t="inlineStr">
        <is>
          <t>bolt_yaris_cross_pkg_6h_500km</t>
        </is>
      </c>
      <c r="D29" t="inlineStr">
        <is>
          <t>6h + 500km</t>
        </is>
      </c>
      <c r="E29" t="inlineStr">
        <is>
          <t>PACKAGE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/>
      <c r="K29" t="inlineStr"/>
      <c r="L29" t="inlineStr">
        <is>
          <t>3.5</t>
        </is>
      </c>
      <c r="M29" t="inlineStr">
        <is>
          <t>0.13</t>
        </is>
      </c>
      <c r="N29" t="inlineStr">
        <is>
          <t>0.13</t>
        </is>
      </c>
      <c r="O29" t="inlineStr">
        <is>
          <t>0.13</t>
        </is>
      </c>
      <c r="P29" t="inlineStr">
        <is>
          <t>0.13</t>
        </is>
      </c>
      <c r="Q29" t="inlineStr">
        <is>
          <t>0.29</t>
        </is>
      </c>
      <c r="R29" t="inlineStr">
        <is>
          <t>TRUE</t>
        </is>
      </c>
      <c r="S29" t="inlineStr">
        <is>
          <t>TRUE</t>
        </is>
      </c>
      <c r="T29" t="inlineStr">
        <is>
          <t>155.60</t>
        </is>
      </c>
      <c r="U29" t="inlineStr">
        <is>
          <t>360</t>
        </is>
      </c>
      <c r="V29" t="inlineStr">
        <is>
          <t>500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(in-app)</t>
        </is>
      </c>
      <c r="AE29" t="inlineStr">
        <is>
          <t>Overage uses PAYG rates; airport fee is dropoff (MVP uses single toggle)</t>
        </is>
      </c>
    </row>
    <row r="30">
      <c r="A30" t="inlineStr">
        <is>
          <t>bolt</t>
        </is>
      </c>
      <c r="B30" t="inlineStr">
        <is>
          <t>bolt_yaris_cross</t>
        </is>
      </c>
      <c r="C30" t="inlineStr">
        <is>
          <t>bolt_yaris_cross_pkg_12h_30km</t>
        </is>
      </c>
      <c r="D30" t="inlineStr">
        <is>
          <t>12h + 30km</t>
        </is>
      </c>
      <c r="E30" t="inlineStr">
        <is>
          <t>PACKAGE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/>
      <c r="K30" t="inlineStr"/>
      <c r="L30" t="inlineStr">
        <is>
          <t>3.5</t>
        </is>
      </c>
      <c r="M30" t="inlineStr">
        <is>
          <t>0.13</t>
        </is>
      </c>
      <c r="N30" t="inlineStr">
        <is>
          <t>0.13</t>
        </is>
      </c>
      <c r="O30" t="inlineStr">
        <is>
          <t>0.13</t>
        </is>
      </c>
      <c r="P30" t="inlineStr">
        <is>
          <t>0.13</t>
        </is>
      </c>
      <c r="Q30" t="inlineStr">
        <is>
          <t>0.29</t>
        </is>
      </c>
      <c r="R30" t="inlineStr">
        <is>
          <t>TRUE</t>
        </is>
      </c>
      <c r="S30" t="inlineStr">
        <is>
          <t>TRUE</t>
        </is>
      </c>
      <c r="T30" t="inlineStr">
        <is>
          <t>27.10</t>
        </is>
      </c>
      <c r="U30" t="inlineStr">
        <is>
          <t>720</t>
        </is>
      </c>
      <c r="V30" t="inlineStr">
        <is>
          <t>30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(in-app)</t>
        </is>
      </c>
      <c r="AE30" t="inlineStr">
        <is>
          <t>Overage uses PAYG rates; airport fee is dropoff (MVP uses single toggle)</t>
        </is>
      </c>
    </row>
    <row r="31">
      <c r="A31" t="inlineStr">
        <is>
          <t>bolt</t>
        </is>
      </c>
      <c r="B31" t="inlineStr">
        <is>
          <t>bolt_yaris_cross</t>
        </is>
      </c>
      <c r="C31" t="inlineStr">
        <is>
          <t>bolt_yaris_cross_pkg_12h_50km</t>
        </is>
      </c>
      <c r="D31" t="inlineStr">
        <is>
          <t>12h + 50km</t>
        </is>
      </c>
      <c r="E31" t="inlineStr">
        <is>
          <t>PACKAGE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/>
      <c r="K31" t="inlineStr"/>
      <c r="L31" t="inlineStr">
        <is>
          <t>3.5</t>
        </is>
      </c>
      <c r="M31" t="inlineStr">
        <is>
          <t>0.13</t>
        </is>
      </c>
      <c r="N31" t="inlineStr">
        <is>
          <t>0.13</t>
        </is>
      </c>
      <c r="O31" t="inlineStr">
        <is>
          <t>0.13</t>
        </is>
      </c>
      <c r="P31" t="inlineStr">
        <is>
          <t>0.13</t>
        </is>
      </c>
      <c r="Q31" t="inlineStr">
        <is>
          <t>0.29</t>
        </is>
      </c>
      <c r="R31" t="inlineStr">
        <is>
          <t>TRUE</t>
        </is>
      </c>
      <c r="S31" t="inlineStr">
        <is>
          <t>TRUE</t>
        </is>
      </c>
      <c r="T31" t="inlineStr">
        <is>
          <t>32.60</t>
        </is>
      </c>
      <c r="U31" t="inlineStr">
        <is>
          <t>720</t>
        </is>
      </c>
      <c r="V31" t="inlineStr">
        <is>
          <t>50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(in-app)</t>
        </is>
      </c>
      <c r="AE31" t="inlineStr">
        <is>
          <t>Overage uses PAYG rates; airport fee is dropoff (MVP uses single toggle)</t>
        </is>
      </c>
    </row>
    <row r="32">
      <c r="A32" t="inlineStr">
        <is>
          <t>bolt</t>
        </is>
      </c>
      <c r="B32" t="inlineStr">
        <is>
          <t>bolt_yaris_cross</t>
        </is>
      </c>
      <c r="C32" t="inlineStr">
        <is>
          <t>bolt_yaris_cross_pkg_12h_75km</t>
        </is>
      </c>
      <c r="D32" t="inlineStr">
        <is>
          <t>12h + 75km</t>
        </is>
      </c>
      <c r="E32" t="inlineStr">
        <is>
          <t>PACKAGE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/>
      <c r="K32" t="inlineStr"/>
      <c r="L32" t="inlineStr">
        <is>
          <t>3.5</t>
        </is>
      </c>
      <c r="M32" t="inlineStr">
        <is>
          <t>0.13</t>
        </is>
      </c>
      <c r="N32" t="inlineStr">
        <is>
          <t>0.13</t>
        </is>
      </c>
      <c r="O32" t="inlineStr">
        <is>
          <t>0.13</t>
        </is>
      </c>
      <c r="P32" t="inlineStr">
        <is>
          <t>0.13</t>
        </is>
      </c>
      <c r="Q32" t="inlineStr">
        <is>
          <t>0.29</t>
        </is>
      </c>
      <c r="R32" t="inlineStr">
        <is>
          <t>TRUE</t>
        </is>
      </c>
      <c r="S32" t="inlineStr">
        <is>
          <t>TRUE</t>
        </is>
      </c>
      <c r="T32" t="inlineStr">
        <is>
          <t>39.50</t>
        </is>
      </c>
      <c r="U32" t="inlineStr">
        <is>
          <t>720</t>
        </is>
      </c>
      <c r="V32" t="inlineStr">
        <is>
          <t>75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(in-app)</t>
        </is>
      </c>
      <c r="AE32" t="inlineStr">
        <is>
          <t>Overage uses PAYG rates; airport fee is dropoff (MVP uses single toggle)</t>
        </is>
      </c>
    </row>
    <row r="33">
      <c r="A33" t="inlineStr">
        <is>
          <t>bolt</t>
        </is>
      </c>
      <c r="B33" t="inlineStr">
        <is>
          <t>bolt_yaris_cross</t>
        </is>
      </c>
      <c r="C33" t="inlineStr">
        <is>
          <t>bolt_yaris_cross_pkg_12h_100km</t>
        </is>
      </c>
      <c r="D33" t="inlineStr">
        <is>
          <t>12h + 100km</t>
        </is>
      </c>
      <c r="E33" t="inlineStr">
        <is>
          <t>PACKAGE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/>
      <c r="K33" t="inlineStr"/>
      <c r="L33" t="inlineStr">
        <is>
          <t>3.5</t>
        </is>
      </c>
      <c r="M33" t="inlineStr">
        <is>
          <t>0.13</t>
        </is>
      </c>
      <c r="N33" t="inlineStr">
        <is>
          <t>0.13</t>
        </is>
      </c>
      <c r="O33" t="inlineStr">
        <is>
          <t>0.13</t>
        </is>
      </c>
      <c r="P33" t="inlineStr">
        <is>
          <t>0.13</t>
        </is>
      </c>
      <c r="Q33" t="inlineStr">
        <is>
          <t>0.29</t>
        </is>
      </c>
      <c r="R33" t="inlineStr">
        <is>
          <t>TRUE</t>
        </is>
      </c>
      <c r="S33" t="inlineStr">
        <is>
          <t>TRUE</t>
        </is>
      </c>
      <c r="T33" t="inlineStr">
        <is>
          <t>46.40</t>
        </is>
      </c>
      <c r="U33" t="inlineStr">
        <is>
          <t>720</t>
        </is>
      </c>
      <c r="V33" t="inlineStr">
        <is>
          <t>100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(in-app)</t>
        </is>
      </c>
      <c r="AE33" t="inlineStr">
        <is>
          <t>Overage uses PAYG rates; airport fee is dropoff (MVP uses single toggle)</t>
        </is>
      </c>
    </row>
    <row r="34">
      <c r="A34" t="inlineStr">
        <is>
          <t>bolt</t>
        </is>
      </c>
      <c r="B34" t="inlineStr">
        <is>
          <t>bolt_yaris_cross</t>
        </is>
      </c>
      <c r="C34" t="inlineStr">
        <is>
          <t>bolt_yaris_cross_pkg_12h_150km</t>
        </is>
      </c>
      <c r="D34" t="inlineStr">
        <is>
          <t>12h + 150km</t>
        </is>
      </c>
      <c r="E34" t="inlineStr">
        <is>
          <t>PACKAGE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/>
      <c r="K34" t="inlineStr"/>
      <c r="L34" t="inlineStr">
        <is>
          <t>3.5</t>
        </is>
      </c>
      <c r="M34" t="inlineStr">
        <is>
          <t>0.13</t>
        </is>
      </c>
      <c r="N34" t="inlineStr">
        <is>
          <t>0.13</t>
        </is>
      </c>
      <c r="O34" t="inlineStr">
        <is>
          <t>0.13</t>
        </is>
      </c>
      <c r="P34" t="inlineStr">
        <is>
          <t>0.13</t>
        </is>
      </c>
      <c r="Q34" t="inlineStr">
        <is>
          <t>0.29</t>
        </is>
      </c>
      <c r="R34" t="inlineStr">
        <is>
          <t>TRUE</t>
        </is>
      </c>
      <c r="S34" t="inlineStr">
        <is>
          <t>TRUE</t>
        </is>
      </c>
      <c r="T34" t="inlineStr">
        <is>
          <t>60.10</t>
        </is>
      </c>
      <c r="U34" t="inlineStr">
        <is>
          <t>720</t>
        </is>
      </c>
      <c r="V34" t="inlineStr">
        <is>
          <t>150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(in-app)</t>
        </is>
      </c>
      <c r="AE34" t="inlineStr">
        <is>
          <t>Overage uses PAYG rates; airport fee is dropoff (MVP uses single toggle)</t>
        </is>
      </c>
    </row>
    <row r="35">
      <c r="A35" t="inlineStr">
        <is>
          <t>bolt</t>
        </is>
      </c>
      <c r="B35" t="inlineStr">
        <is>
          <t>bolt_yaris_cross</t>
        </is>
      </c>
      <c r="C35" t="inlineStr">
        <is>
          <t>bolt_yaris_cross_pkg_12h_250km</t>
        </is>
      </c>
      <c r="D35" t="inlineStr">
        <is>
          <t>12h + 250km</t>
        </is>
      </c>
      <c r="E35" t="inlineStr">
        <is>
          <t>PACKAGE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/>
      <c r="K35" t="inlineStr"/>
      <c r="L35" t="inlineStr">
        <is>
          <t>3.5</t>
        </is>
      </c>
      <c r="M35" t="inlineStr">
        <is>
          <t>0.13</t>
        </is>
      </c>
      <c r="N35" t="inlineStr">
        <is>
          <t>0.13</t>
        </is>
      </c>
      <c r="O35" t="inlineStr">
        <is>
          <t>0.13</t>
        </is>
      </c>
      <c r="P35" t="inlineStr">
        <is>
          <t>0.13</t>
        </is>
      </c>
      <c r="Q35" t="inlineStr">
        <is>
          <t>0.29</t>
        </is>
      </c>
      <c r="R35" t="inlineStr">
        <is>
          <t>TRUE</t>
        </is>
      </c>
      <c r="S35" t="inlineStr">
        <is>
          <t>TRUE</t>
        </is>
      </c>
      <c r="T35" t="inlineStr">
        <is>
          <t>87.70</t>
        </is>
      </c>
      <c r="U35" t="inlineStr">
        <is>
          <t>720</t>
        </is>
      </c>
      <c r="V35" t="inlineStr">
        <is>
          <t>250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(in-app)</t>
        </is>
      </c>
      <c r="AE35" t="inlineStr">
        <is>
          <t>Overage uses PAYG rates; airport fee is dropoff (MVP uses single toggle)</t>
        </is>
      </c>
    </row>
    <row r="36">
      <c r="A36" t="inlineStr">
        <is>
          <t>bolt</t>
        </is>
      </c>
      <c r="B36" t="inlineStr">
        <is>
          <t>bolt_yaris_cross</t>
        </is>
      </c>
      <c r="C36" t="inlineStr">
        <is>
          <t>bolt_yaris_cross_pkg_12h_500km</t>
        </is>
      </c>
      <c r="D36" t="inlineStr">
        <is>
          <t>12h + 500km</t>
        </is>
      </c>
      <c r="E36" t="inlineStr">
        <is>
          <t>PACKAGE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/>
      <c r="K36" t="inlineStr"/>
      <c r="L36" t="inlineStr">
        <is>
          <t>3.5</t>
        </is>
      </c>
      <c r="M36" t="inlineStr">
        <is>
          <t>0.13</t>
        </is>
      </c>
      <c r="N36" t="inlineStr">
        <is>
          <t>0.13</t>
        </is>
      </c>
      <c r="O36" t="inlineStr">
        <is>
          <t>0.13</t>
        </is>
      </c>
      <c r="P36" t="inlineStr">
        <is>
          <t>0.13</t>
        </is>
      </c>
      <c r="Q36" t="inlineStr">
        <is>
          <t>0.29</t>
        </is>
      </c>
      <c r="R36" t="inlineStr">
        <is>
          <t>TRUE</t>
        </is>
      </c>
      <c r="S36" t="inlineStr">
        <is>
          <t>TRUE</t>
        </is>
      </c>
      <c r="T36" t="inlineStr">
        <is>
          <t>156.60</t>
        </is>
      </c>
      <c r="U36" t="inlineStr">
        <is>
          <t>720</t>
        </is>
      </c>
      <c r="V36" t="inlineStr">
        <is>
          <t>500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(in-app)</t>
        </is>
      </c>
      <c r="AE36" t="inlineStr">
        <is>
          <t>Overage uses PAYG rates; airport fee is dropoff (MVP uses single toggle)</t>
        </is>
      </c>
    </row>
    <row r="37">
      <c r="A37" t="inlineStr">
        <is>
          <t>bolt</t>
        </is>
      </c>
      <c r="B37" t="inlineStr">
        <is>
          <t>bolt_yaris_cross</t>
        </is>
      </c>
      <c r="C37" t="inlineStr">
        <is>
          <t>bolt_yaris_cross_pkg_1d_30km</t>
        </is>
      </c>
      <c r="D37" t="inlineStr">
        <is>
          <t>1 day + 30km</t>
        </is>
      </c>
      <c r="E37" t="inlineStr">
        <is>
          <t>PACKAGE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/>
      <c r="K37" t="inlineStr"/>
      <c r="L37" t="inlineStr">
        <is>
          <t>3.5</t>
        </is>
      </c>
      <c r="M37" t="inlineStr">
        <is>
          <t>0.13</t>
        </is>
      </c>
      <c r="N37" t="inlineStr">
        <is>
          <t>0.13</t>
        </is>
      </c>
      <c r="O37" t="inlineStr">
        <is>
          <t>0.13</t>
        </is>
      </c>
      <c r="P37" t="inlineStr">
        <is>
          <t>0.13</t>
        </is>
      </c>
      <c r="Q37" t="inlineStr">
        <is>
          <t>0.29</t>
        </is>
      </c>
      <c r="R37" t="inlineStr">
        <is>
          <t>TRUE</t>
        </is>
      </c>
      <c r="S37" t="inlineStr">
        <is>
          <t>TRUE</t>
        </is>
      </c>
      <c r="T37" t="inlineStr">
        <is>
          <t>28.10</t>
        </is>
      </c>
      <c r="U37" t="inlineStr">
        <is>
          <t>1440</t>
        </is>
      </c>
      <c r="V37" t="inlineStr">
        <is>
          <t>30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(in-app)</t>
        </is>
      </c>
      <c r="AE37" t="inlineStr">
        <is>
          <t>Overage uses PAYG rates; airport fee is dropoff (MVP uses single toggle)</t>
        </is>
      </c>
    </row>
    <row r="38">
      <c r="A38" t="inlineStr">
        <is>
          <t>bolt</t>
        </is>
      </c>
      <c r="B38" t="inlineStr">
        <is>
          <t>bolt_yaris_cross</t>
        </is>
      </c>
      <c r="C38" t="inlineStr">
        <is>
          <t>bolt_yaris_cross_pkg_1d_50km</t>
        </is>
      </c>
      <c r="D38" t="inlineStr">
        <is>
          <t>1 day + 50km</t>
        </is>
      </c>
      <c r="E38" t="inlineStr">
        <is>
          <t>PACKAGE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/>
      <c r="K38" t="inlineStr"/>
      <c r="L38" t="inlineStr">
        <is>
          <t>3.5</t>
        </is>
      </c>
      <c r="M38" t="inlineStr">
        <is>
          <t>0.13</t>
        </is>
      </c>
      <c r="N38" t="inlineStr">
        <is>
          <t>0.13</t>
        </is>
      </c>
      <c r="O38" t="inlineStr">
        <is>
          <t>0.13</t>
        </is>
      </c>
      <c r="P38" t="inlineStr">
        <is>
          <t>0.13</t>
        </is>
      </c>
      <c r="Q38" t="inlineStr">
        <is>
          <t>0.29</t>
        </is>
      </c>
      <c r="R38" t="inlineStr">
        <is>
          <t>TRUE</t>
        </is>
      </c>
      <c r="S38" t="inlineStr">
        <is>
          <t>TRUE</t>
        </is>
      </c>
      <c r="T38" t="inlineStr">
        <is>
          <t>33.60</t>
        </is>
      </c>
      <c r="U38" t="inlineStr">
        <is>
          <t>1440</t>
        </is>
      </c>
      <c r="V38" t="inlineStr">
        <is>
          <t>50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(in-app)</t>
        </is>
      </c>
      <c r="AE38" t="inlineStr">
        <is>
          <t>Overage uses PAYG rates; airport fee is dropoff (MVP uses single toggle)</t>
        </is>
      </c>
    </row>
    <row r="39">
      <c r="A39" t="inlineStr">
        <is>
          <t>bolt</t>
        </is>
      </c>
      <c r="B39" t="inlineStr">
        <is>
          <t>bolt_yaris_cross</t>
        </is>
      </c>
      <c r="C39" t="inlineStr">
        <is>
          <t>bolt_yaris_cross_pkg_1d_75km</t>
        </is>
      </c>
      <c r="D39" t="inlineStr">
        <is>
          <t>1 day + 75km</t>
        </is>
      </c>
      <c r="E39" t="inlineStr">
        <is>
          <t>PACKAGE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/>
      <c r="K39" t="inlineStr"/>
      <c r="L39" t="inlineStr">
        <is>
          <t>3.5</t>
        </is>
      </c>
      <c r="M39" t="inlineStr">
        <is>
          <t>0.13</t>
        </is>
      </c>
      <c r="N39" t="inlineStr">
        <is>
          <t>0.13</t>
        </is>
      </c>
      <c r="O39" t="inlineStr">
        <is>
          <t>0.13</t>
        </is>
      </c>
      <c r="P39" t="inlineStr">
        <is>
          <t>0.13</t>
        </is>
      </c>
      <c r="Q39" t="inlineStr">
        <is>
          <t>0.29</t>
        </is>
      </c>
      <c r="R39" t="inlineStr">
        <is>
          <t>TRUE</t>
        </is>
      </c>
      <c r="S39" t="inlineStr">
        <is>
          <t>TRUE</t>
        </is>
      </c>
      <c r="T39" t="inlineStr">
        <is>
          <t>40.50</t>
        </is>
      </c>
      <c r="U39" t="inlineStr">
        <is>
          <t>1440</t>
        </is>
      </c>
      <c r="V39" t="inlineStr">
        <is>
          <t>75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(in-app)</t>
        </is>
      </c>
      <c r="AE39" t="inlineStr">
        <is>
          <t>Overage uses PAYG rates; airport fee is dropoff (MVP uses single toggle)</t>
        </is>
      </c>
    </row>
    <row r="40">
      <c r="A40" t="inlineStr">
        <is>
          <t>bolt</t>
        </is>
      </c>
      <c r="B40" t="inlineStr">
        <is>
          <t>bolt_yaris_cross</t>
        </is>
      </c>
      <c r="C40" t="inlineStr">
        <is>
          <t>bolt_yaris_cross_pkg_1d_100km</t>
        </is>
      </c>
      <c r="D40" t="inlineStr">
        <is>
          <t>1 day + 100km</t>
        </is>
      </c>
      <c r="E40" t="inlineStr">
        <is>
          <t>PACKAGE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/>
      <c r="K40" t="inlineStr"/>
      <c r="L40" t="inlineStr">
        <is>
          <t>3.5</t>
        </is>
      </c>
      <c r="M40" t="inlineStr">
        <is>
          <t>0.13</t>
        </is>
      </c>
      <c r="N40" t="inlineStr">
        <is>
          <t>0.13</t>
        </is>
      </c>
      <c r="O40" t="inlineStr">
        <is>
          <t>0.13</t>
        </is>
      </c>
      <c r="P40" t="inlineStr">
        <is>
          <t>0.13</t>
        </is>
      </c>
      <c r="Q40" t="inlineStr">
        <is>
          <t>0.29</t>
        </is>
      </c>
      <c r="R40" t="inlineStr">
        <is>
          <t>TRUE</t>
        </is>
      </c>
      <c r="S40" t="inlineStr">
        <is>
          <t>TRUE</t>
        </is>
      </c>
      <c r="T40" t="inlineStr">
        <is>
          <t>47.40</t>
        </is>
      </c>
      <c r="U40" t="inlineStr">
        <is>
          <t>1440</t>
        </is>
      </c>
      <c r="V40" t="inlineStr">
        <is>
          <t>100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(in-app)</t>
        </is>
      </c>
      <c r="AE40" t="inlineStr">
        <is>
          <t>Overage uses PAYG rates; airport fee is dropoff (MVP uses single toggle)</t>
        </is>
      </c>
    </row>
    <row r="41">
      <c r="A41" t="inlineStr">
        <is>
          <t>bolt</t>
        </is>
      </c>
      <c r="B41" t="inlineStr">
        <is>
          <t>bolt_yaris_cross</t>
        </is>
      </c>
      <c r="C41" t="inlineStr">
        <is>
          <t>bolt_yaris_cross_pkg_1d_150km</t>
        </is>
      </c>
      <c r="D41" t="inlineStr">
        <is>
          <t>1 day + 150km</t>
        </is>
      </c>
      <c r="E41" t="inlineStr">
        <is>
          <t>PACKAGE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/>
      <c r="K41" t="inlineStr"/>
      <c r="L41" t="inlineStr">
        <is>
          <t>3.5</t>
        </is>
      </c>
      <c r="M41" t="inlineStr">
        <is>
          <t>0.13</t>
        </is>
      </c>
      <c r="N41" t="inlineStr">
        <is>
          <t>0.13</t>
        </is>
      </c>
      <c r="O41" t="inlineStr">
        <is>
          <t>0.13</t>
        </is>
      </c>
      <c r="P41" t="inlineStr">
        <is>
          <t>0.13</t>
        </is>
      </c>
      <c r="Q41" t="inlineStr">
        <is>
          <t>0.29</t>
        </is>
      </c>
      <c r="R41" t="inlineStr">
        <is>
          <t>TRUE</t>
        </is>
      </c>
      <c r="S41" t="inlineStr">
        <is>
          <t>TRUE</t>
        </is>
      </c>
      <c r="T41" t="inlineStr">
        <is>
          <t>61.20</t>
        </is>
      </c>
      <c r="U41" t="inlineStr">
        <is>
          <t>1440</t>
        </is>
      </c>
      <c r="V41" t="inlineStr">
        <is>
          <t>150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(in-app)</t>
        </is>
      </c>
      <c r="AE41" t="inlineStr">
        <is>
          <t>Overage uses PAYG rates; airport fee is dropoff (MVP uses single toggle)</t>
        </is>
      </c>
    </row>
    <row r="42">
      <c r="A42" t="inlineStr">
        <is>
          <t>bolt</t>
        </is>
      </c>
      <c r="B42" t="inlineStr">
        <is>
          <t>bolt_yaris_cross</t>
        </is>
      </c>
      <c r="C42" t="inlineStr">
        <is>
          <t>bolt_yaris_cross_pkg_1d_250km</t>
        </is>
      </c>
      <c r="D42" t="inlineStr">
        <is>
          <t>1 day + 250km</t>
        </is>
      </c>
      <c r="E42" t="inlineStr">
        <is>
          <t>PACKAGE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/>
      <c r="K42" t="inlineStr"/>
      <c r="L42" t="inlineStr">
        <is>
          <t>3.5</t>
        </is>
      </c>
      <c r="M42" t="inlineStr">
        <is>
          <t>0.13</t>
        </is>
      </c>
      <c r="N42" t="inlineStr">
        <is>
          <t>0.13</t>
        </is>
      </c>
      <c r="O42" t="inlineStr">
        <is>
          <t>0.13</t>
        </is>
      </c>
      <c r="P42" t="inlineStr">
        <is>
          <t>0.13</t>
        </is>
      </c>
      <c r="Q42" t="inlineStr">
        <is>
          <t>0.29</t>
        </is>
      </c>
      <c r="R42" t="inlineStr">
        <is>
          <t>TRUE</t>
        </is>
      </c>
      <c r="S42" t="inlineStr">
        <is>
          <t>TRUE</t>
        </is>
      </c>
      <c r="T42" t="inlineStr">
        <is>
          <t>88.70</t>
        </is>
      </c>
      <c r="U42" t="inlineStr">
        <is>
          <t>1440</t>
        </is>
      </c>
      <c r="V42" t="inlineStr">
        <is>
          <t>250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(in-app)</t>
        </is>
      </c>
      <c r="AE42" t="inlineStr">
        <is>
          <t>Overage uses PAYG rates; airport fee is dropoff (MVP uses single toggle)</t>
        </is>
      </c>
    </row>
    <row r="43">
      <c r="A43" t="inlineStr">
        <is>
          <t>bolt</t>
        </is>
      </c>
      <c r="B43" t="inlineStr">
        <is>
          <t>bolt_yaris_cross</t>
        </is>
      </c>
      <c r="C43" t="inlineStr">
        <is>
          <t>bolt_yaris_cross_pkg_1d_500km</t>
        </is>
      </c>
      <c r="D43" t="inlineStr">
        <is>
          <t>1 day + 500km</t>
        </is>
      </c>
      <c r="E43" t="inlineStr">
        <is>
          <t>PACKAGE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/>
      <c r="K43" t="inlineStr"/>
      <c r="L43" t="inlineStr">
        <is>
          <t>3.5</t>
        </is>
      </c>
      <c r="M43" t="inlineStr">
        <is>
          <t>0.13</t>
        </is>
      </c>
      <c r="N43" t="inlineStr">
        <is>
          <t>0.13</t>
        </is>
      </c>
      <c r="O43" t="inlineStr">
        <is>
          <t>0.13</t>
        </is>
      </c>
      <c r="P43" t="inlineStr">
        <is>
          <t>0.13</t>
        </is>
      </c>
      <c r="Q43" t="inlineStr">
        <is>
          <t>0.29</t>
        </is>
      </c>
      <c r="R43" t="inlineStr">
        <is>
          <t>TRUE</t>
        </is>
      </c>
      <c r="S43" t="inlineStr">
        <is>
          <t>TRUE</t>
        </is>
      </c>
      <c r="T43" t="inlineStr">
        <is>
          <t>157.60</t>
        </is>
      </c>
      <c r="U43" t="inlineStr">
        <is>
          <t>1440</t>
        </is>
      </c>
      <c r="V43" t="inlineStr">
        <is>
          <t>500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(in-app)</t>
        </is>
      </c>
      <c r="AE43" t="inlineStr">
        <is>
          <t>Overage uses PAYG rates; airport fee is dropoff (MVP uses single toggle)</t>
        </is>
      </c>
    </row>
    <row r="44">
      <c r="A44" t="inlineStr">
        <is>
          <t>bolt</t>
        </is>
      </c>
      <c r="B44" t="inlineStr">
        <is>
          <t>bolt_yaris_cross</t>
        </is>
      </c>
      <c r="C44" t="inlineStr">
        <is>
          <t>bolt_yaris_cross_pkg_1d_750km</t>
        </is>
      </c>
      <c r="D44" t="inlineStr">
        <is>
          <t>1 day + 750km</t>
        </is>
      </c>
      <c r="E44" t="inlineStr">
        <is>
          <t>PACKAGE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/>
      <c r="K44" t="inlineStr"/>
      <c r="L44" t="inlineStr">
        <is>
          <t>3.5</t>
        </is>
      </c>
      <c r="M44" t="inlineStr">
        <is>
          <t>0.13</t>
        </is>
      </c>
      <c r="N44" t="inlineStr">
        <is>
          <t>0.13</t>
        </is>
      </c>
      <c r="O44" t="inlineStr">
        <is>
          <t>0.13</t>
        </is>
      </c>
      <c r="P44" t="inlineStr">
        <is>
          <t>0.13</t>
        </is>
      </c>
      <c r="Q44" t="inlineStr">
        <is>
          <t>0.29</t>
        </is>
      </c>
      <c r="R44" t="inlineStr">
        <is>
          <t>TRUE</t>
        </is>
      </c>
      <c r="S44" t="inlineStr">
        <is>
          <t>TRUE</t>
        </is>
      </c>
      <c r="T44" t="inlineStr">
        <is>
          <t>226.50</t>
        </is>
      </c>
      <c r="U44" t="inlineStr">
        <is>
          <t>1440</t>
        </is>
      </c>
      <c r="V44" t="inlineStr">
        <is>
          <t>750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(in-app)</t>
        </is>
      </c>
      <c r="AE44" t="inlineStr">
        <is>
          <t>Overage uses PAYG rates; airport fee is dropoff (MVP uses single toggle)</t>
        </is>
      </c>
    </row>
    <row r="45">
      <c r="A45" t="inlineStr">
        <is>
          <t>bolt</t>
        </is>
      </c>
      <c r="B45" t="inlineStr">
        <is>
          <t>bolt_yaris_cross</t>
        </is>
      </c>
      <c r="C45" t="inlineStr">
        <is>
          <t>bolt_yaris_cross_pkg_2d_50km</t>
        </is>
      </c>
      <c r="D45" t="inlineStr">
        <is>
          <t>2 days + 50km</t>
        </is>
      </c>
      <c r="E45" t="inlineStr">
        <is>
          <t>PACKAGE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/>
      <c r="K45" t="inlineStr"/>
      <c r="L45" t="inlineStr">
        <is>
          <t>3.5</t>
        </is>
      </c>
      <c r="M45" t="inlineStr">
        <is>
          <t>0.13</t>
        </is>
      </c>
      <c r="N45" t="inlineStr">
        <is>
          <t>0.13</t>
        </is>
      </c>
      <c r="O45" t="inlineStr">
        <is>
          <t>0.13</t>
        </is>
      </c>
      <c r="P45" t="inlineStr">
        <is>
          <t>0.13</t>
        </is>
      </c>
      <c r="Q45" t="inlineStr">
        <is>
          <t>0.29</t>
        </is>
      </c>
      <c r="R45" t="inlineStr">
        <is>
          <t>TRUE</t>
        </is>
      </c>
      <c r="S45" t="inlineStr">
        <is>
          <t>TRUE</t>
        </is>
      </c>
      <c r="T45" t="inlineStr">
        <is>
          <t>53.50</t>
        </is>
      </c>
      <c r="U45" t="inlineStr">
        <is>
          <t>2880</t>
        </is>
      </c>
      <c r="V45" t="inlineStr">
        <is>
          <t>50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(in-app)</t>
        </is>
      </c>
      <c r="AE45" t="inlineStr">
        <is>
          <t>Overage uses PAYG rates; airport fee is dropoff (MVP uses single toggle)</t>
        </is>
      </c>
    </row>
    <row r="46">
      <c r="A46" t="inlineStr">
        <is>
          <t>bolt</t>
        </is>
      </c>
      <c r="B46" t="inlineStr">
        <is>
          <t>bolt_yaris_cross</t>
        </is>
      </c>
      <c r="C46" t="inlineStr">
        <is>
          <t>bolt_yaris_cross_pkg_2d_100km</t>
        </is>
      </c>
      <c r="D46" t="inlineStr">
        <is>
          <t>2 days + 100km</t>
        </is>
      </c>
      <c r="E46" t="inlineStr">
        <is>
          <t>PACKAGE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/>
      <c r="K46" t="inlineStr"/>
      <c r="L46" t="inlineStr">
        <is>
          <t>3.5</t>
        </is>
      </c>
      <c r="M46" t="inlineStr">
        <is>
          <t>0.13</t>
        </is>
      </c>
      <c r="N46" t="inlineStr">
        <is>
          <t>0.13</t>
        </is>
      </c>
      <c r="O46" t="inlineStr">
        <is>
          <t>0.13</t>
        </is>
      </c>
      <c r="P46" t="inlineStr">
        <is>
          <t>0.13</t>
        </is>
      </c>
      <c r="Q46" t="inlineStr">
        <is>
          <t>0.29</t>
        </is>
      </c>
      <c r="R46" t="inlineStr">
        <is>
          <t>TRUE</t>
        </is>
      </c>
      <c r="S46" t="inlineStr">
        <is>
          <t>TRUE</t>
        </is>
      </c>
      <c r="T46" t="inlineStr">
        <is>
          <t>67.30</t>
        </is>
      </c>
      <c r="U46" t="inlineStr">
        <is>
          <t>2880</t>
        </is>
      </c>
      <c r="V46" t="inlineStr">
        <is>
          <t>100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(in-app)</t>
        </is>
      </c>
      <c r="AE46" t="inlineStr">
        <is>
          <t>Overage uses PAYG rates; airport fee is dropoff (MVP uses single toggle)</t>
        </is>
      </c>
    </row>
    <row r="47">
      <c r="A47" t="inlineStr">
        <is>
          <t>bolt</t>
        </is>
      </c>
      <c r="B47" t="inlineStr">
        <is>
          <t>bolt_yaris_cross</t>
        </is>
      </c>
      <c r="C47" t="inlineStr">
        <is>
          <t>bolt_yaris_cross_pkg_2d_200km</t>
        </is>
      </c>
      <c r="D47" t="inlineStr">
        <is>
          <t>2 days + 200km</t>
        </is>
      </c>
      <c r="E47" t="inlineStr">
        <is>
          <t>PACKAGE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/>
      <c r="K47" t="inlineStr"/>
      <c r="L47" t="inlineStr">
        <is>
          <t>3.5</t>
        </is>
      </c>
      <c r="M47" t="inlineStr">
        <is>
          <t>0.13</t>
        </is>
      </c>
      <c r="N47" t="inlineStr">
        <is>
          <t>0.13</t>
        </is>
      </c>
      <c r="O47" t="inlineStr">
        <is>
          <t>0.13</t>
        </is>
      </c>
      <c r="P47" t="inlineStr">
        <is>
          <t>0.13</t>
        </is>
      </c>
      <c r="Q47" t="inlineStr">
        <is>
          <t>0.29</t>
        </is>
      </c>
      <c r="R47" t="inlineStr">
        <is>
          <t>TRUE</t>
        </is>
      </c>
      <c r="S47" t="inlineStr">
        <is>
          <t>TRUE</t>
        </is>
      </c>
      <c r="T47" t="inlineStr">
        <is>
          <t>94.80</t>
        </is>
      </c>
      <c r="U47" t="inlineStr">
        <is>
          <t>2880</t>
        </is>
      </c>
      <c r="V47" t="inlineStr">
        <is>
          <t>200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(in-app)</t>
        </is>
      </c>
      <c r="AE47" t="inlineStr">
        <is>
          <t>Overage uses PAYG rates; airport fee is dropoff (MVP uses single toggle)</t>
        </is>
      </c>
    </row>
    <row r="48">
      <c r="A48" t="inlineStr">
        <is>
          <t>bolt</t>
        </is>
      </c>
      <c r="B48" t="inlineStr">
        <is>
          <t>bolt_yaris_cross</t>
        </is>
      </c>
      <c r="C48" t="inlineStr">
        <is>
          <t>bolt_yaris_cross_pkg_2d_300km</t>
        </is>
      </c>
      <c r="D48" t="inlineStr">
        <is>
          <t>2 days + 300km</t>
        </is>
      </c>
      <c r="E48" t="inlineStr">
        <is>
          <t>PACKAGE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/>
      <c r="K48" t="inlineStr"/>
      <c r="L48" t="inlineStr">
        <is>
          <t>3.5</t>
        </is>
      </c>
      <c r="M48" t="inlineStr">
        <is>
          <t>0.13</t>
        </is>
      </c>
      <c r="N48" t="inlineStr">
        <is>
          <t>0.13</t>
        </is>
      </c>
      <c r="O48" t="inlineStr">
        <is>
          <t>0.13</t>
        </is>
      </c>
      <c r="P48" t="inlineStr">
        <is>
          <t>0.13</t>
        </is>
      </c>
      <c r="Q48" t="inlineStr">
        <is>
          <t>0.29</t>
        </is>
      </c>
      <c r="R48" t="inlineStr">
        <is>
          <t>TRUE</t>
        </is>
      </c>
      <c r="S48" t="inlineStr">
        <is>
          <t>TRUE</t>
        </is>
      </c>
      <c r="T48" t="inlineStr">
        <is>
          <t>122.30</t>
        </is>
      </c>
      <c r="U48" t="inlineStr">
        <is>
          <t>2880</t>
        </is>
      </c>
      <c r="V48" t="inlineStr">
        <is>
          <t>300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(in-app)</t>
        </is>
      </c>
      <c r="AE48" t="inlineStr">
        <is>
          <t>Overage uses PAYG rates; airport fee is dropoff (MVP uses single toggle)</t>
        </is>
      </c>
    </row>
    <row r="49">
      <c r="A49" t="inlineStr">
        <is>
          <t>bolt</t>
        </is>
      </c>
      <c r="B49" t="inlineStr">
        <is>
          <t>bolt_yaris_cross</t>
        </is>
      </c>
      <c r="C49" t="inlineStr">
        <is>
          <t>bolt_yaris_cross_pkg_2d_500km</t>
        </is>
      </c>
      <c r="D49" t="inlineStr">
        <is>
          <t>2 days + 500km</t>
        </is>
      </c>
      <c r="E49" t="inlineStr">
        <is>
          <t>PACKAGE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/>
      <c r="K49" t="inlineStr"/>
      <c r="L49" t="inlineStr">
        <is>
          <t>3.5</t>
        </is>
      </c>
      <c r="M49" t="inlineStr">
        <is>
          <t>0.13</t>
        </is>
      </c>
      <c r="N49" t="inlineStr">
        <is>
          <t>0.13</t>
        </is>
      </c>
      <c r="O49" t="inlineStr">
        <is>
          <t>0.13</t>
        </is>
      </c>
      <c r="P49" t="inlineStr">
        <is>
          <t>0.13</t>
        </is>
      </c>
      <c r="Q49" t="inlineStr">
        <is>
          <t>0.29</t>
        </is>
      </c>
      <c r="R49" t="inlineStr">
        <is>
          <t>TRUE</t>
        </is>
      </c>
      <c r="S49" t="inlineStr">
        <is>
          <t>TRUE</t>
        </is>
      </c>
      <c r="T49" t="inlineStr">
        <is>
          <t>177.50</t>
        </is>
      </c>
      <c r="U49" t="inlineStr">
        <is>
          <t>2880</t>
        </is>
      </c>
      <c r="V49" t="inlineStr">
        <is>
          <t>500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(in-app)</t>
        </is>
      </c>
      <c r="AE49" t="inlineStr">
        <is>
          <t>Overage uses PAYG rates; airport fee is dropoff (MVP uses single toggle)</t>
        </is>
      </c>
    </row>
    <row r="50">
      <c r="A50" t="inlineStr">
        <is>
          <t>bolt</t>
        </is>
      </c>
      <c r="B50" t="inlineStr">
        <is>
          <t>bolt_yaris_cross</t>
        </is>
      </c>
      <c r="C50" t="inlineStr">
        <is>
          <t>bolt_yaris_cross_pkg_2d_750km</t>
        </is>
      </c>
      <c r="D50" t="inlineStr">
        <is>
          <t>2 days + 750km</t>
        </is>
      </c>
      <c r="E50" t="inlineStr">
        <is>
          <t>PACKAGE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/>
      <c r="K50" t="inlineStr"/>
      <c r="L50" t="inlineStr">
        <is>
          <t>3.5</t>
        </is>
      </c>
      <c r="M50" t="inlineStr">
        <is>
          <t>0.13</t>
        </is>
      </c>
      <c r="N50" t="inlineStr">
        <is>
          <t>0.13</t>
        </is>
      </c>
      <c r="O50" t="inlineStr">
        <is>
          <t>0.13</t>
        </is>
      </c>
      <c r="P50" t="inlineStr">
        <is>
          <t>0.13</t>
        </is>
      </c>
      <c r="Q50" t="inlineStr">
        <is>
          <t>0.29</t>
        </is>
      </c>
      <c r="R50" t="inlineStr">
        <is>
          <t>TRUE</t>
        </is>
      </c>
      <c r="S50" t="inlineStr">
        <is>
          <t>TRUE</t>
        </is>
      </c>
      <c r="T50" t="inlineStr">
        <is>
          <t>246.30</t>
        </is>
      </c>
      <c r="U50" t="inlineStr">
        <is>
          <t>2880</t>
        </is>
      </c>
      <c r="V50" t="inlineStr">
        <is>
          <t>750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(in-app)</t>
        </is>
      </c>
      <c r="AE50" t="inlineStr">
        <is>
          <t>Overage uses PAYG rates; airport fee is dropoff (MVP uses single toggle)</t>
        </is>
      </c>
    </row>
    <row r="51">
      <c r="A51" t="inlineStr">
        <is>
          <t>bolt</t>
        </is>
      </c>
      <c r="B51" t="inlineStr">
        <is>
          <t>bolt_yaris_cross</t>
        </is>
      </c>
      <c r="C51" t="inlineStr">
        <is>
          <t>bolt_yaris_cross_pkg_2d_1000km</t>
        </is>
      </c>
      <c r="D51" t="inlineStr">
        <is>
          <t>2 days + 1000km</t>
        </is>
      </c>
      <c r="E51" t="inlineStr">
        <is>
          <t>PACKAGE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/>
      <c r="K51" t="inlineStr"/>
      <c r="L51" t="inlineStr">
        <is>
          <t>3.5</t>
        </is>
      </c>
      <c r="M51" t="inlineStr">
        <is>
          <t>0.13</t>
        </is>
      </c>
      <c r="N51" t="inlineStr">
        <is>
          <t>0.13</t>
        </is>
      </c>
      <c r="O51" t="inlineStr">
        <is>
          <t>0.13</t>
        </is>
      </c>
      <c r="P51" t="inlineStr">
        <is>
          <t>0.13</t>
        </is>
      </c>
      <c r="Q51" t="inlineStr">
        <is>
          <t>0.29</t>
        </is>
      </c>
      <c r="R51" t="inlineStr">
        <is>
          <t>TRUE</t>
        </is>
      </c>
      <c r="S51" t="inlineStr">
        <is>
          <t>TRUE</t>
        </is>
      </c>
      <c r="T51" t="inlineStr">
        <is>
          <t>315.20</t>
        </is>
      </c>
      <c r="U51" t="inlineStr">
        <is>
          <t>2880</t>
        </is>
      </c>
      <c r="V51" t="inlineStr">
        <is>
          <t>1000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(in-app)</t>
        </is>
      </c>
      <c r="AE51" t="inlineStr">
        <is>
          <t>Overage uses PAYG rates; airport fee is dropoff (MVP uses single toggle)</t>
        </is>
      </c>
    </row>
    <row r="52">
      <c r="A52" t="inlineStr">
        <is>
          <t>bolt</t>
        </is>
      </c>
      <c r="B52" t="inlineStr">
        <is>
          <t>bolt_yaris_cross</t>
        </is>
      </c>
      <c r="C52" t="inlineStr">
        <is>
          <t>bolt_yaris_cross_pkg_3d_100km</t>
        </is>
      </c>
      <c r="D52" t="inlineStr">
        <is>
          <t>3 days + 100km</t>
        </is>
      </c>
      <c r="E52" t="inlineStr">
        <is>
          <t>PACKAGE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/>
      <c r="K52" t="inlineStr"/>
      <c r="L52" t="inlineStr">
        <is>
          <t>3.5</t>
        </is>
      </c>
      <c r="M52" t="inlineStr">
        <is>
          <t>0.13</t>
        </is>
      </c>
      <c r="N52" t="inlineStr">
        <is>
          <t>0.13</t>
        </is>
      </c>
      <c r="O52" t="inlineStr">
        <is>
          <t>0.13</t>
        </is>
      </c>
      <c r="P52" t="inlineStr">
        <is>
          <t>0.13</t>
        </is>
      </c>
      <c r="Q52" t="inlineStr">
        <is>
          <t>0.29</t>
        </is>
      </c>
      <c r="R52" t="inlineStr">
        <is>
          <t>TRUE</t>
        </is>
      </c>
      <c r="S52" t="inlineStr">
        <is>
          <t>TRUE</t>
        </is>
      </c>
      <c r="T52" t="inlineStr">
        <is>
          <t>87.10</t>
        </is>
      </c>
      <c r="U52" t="inlineStr">
        <is>
          <t>4320</t>
        </is>
      </c>
      <c r="V52" t="inlineStr">
        <is>
          <t>100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(in-app)</t>
        </is>
      </c>
      <c r="AE52" t="inlineStr">
        <is>
          <t>Overage uses PAYG rates; airport fee is dropoff (MVP uses single toggle)</t>
        </is>
      </c>
    </row>
    <row r="53">
      <c r="A53" t="inlineStr">
        <is>
          <t>bolt</t>
        </is>
      </c>
      <c r="B53" t="inlineStr">
        <is>
          <t>bolt_yaris_cross</t>
        </is>
      </c>
      <c r="C53" t="inlineStr">
        <is>
          <t>bolt_yaris_cross_pkg_3d_200km</t>
        </is>
      </c>
      <c r="D53" t="inlineStr">
        <is>
          <t>3 days + 200km</t>
        </is>
      </c>
      <c r="E53" t="inlineStr">
        <is>
          <t>PACKAGE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/>
      <c r="K53" t="inlineStr"/>
      <c r="L53" t="inlineStr">
        <is>
          <t>3.5</t>
        </is>
      </c>
      <c r="M53" t="inlineStr">
        <is>
          <t>0.13</t>
        </is>
      </c>
      <c r="N53" t="inlineStr">
        <is>
          <t>0.13</t>
        </is>
      </c>
      <c r="O53" t="inlineStr">
        <is>
          <t>0.13</t>
        </is>
      </c>
      <c r="P53" t="inlineStr">
        <is>
          <t>0.13</t>
        </is>
      </c>
      <c r="Q53" t="inlineStr">
        <is>
          <t>0.29</t>
        </is>
      </c>
      <c r="R53" t="inlineStr">
        <is>
          <t>TRUE</t>
        </is>
      </c>
      <c r="S53" t="inlineStr">
        <is>
          <t>TRUE</t>
        </is>
      </c>
      <c r="T53" t="inlineStr">
        <is>
          <t>114.70</t>
        </is>
      </c>
      <c r="U53" t="inlineStr">
        <is>
          <t>4320</t>
        </is>
      </c>
      <c r="V53" t="inlineStr">
        <is>
          <t>200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(in-app)</t>
        </is>
      </c>
      <c r="AE53" t="inlineStr">
        <is>
          <t>Overage uses PAYG rates; airport fee is dropoff (MVP uses single toggle)</t>
        </is>
      </c>
    </row>
    <row r="54">
      <c r="A54" t="inlineStr">
        <is>
          <t>bolt</t>
        </is>
      </c>
      <c r="B54" t="inlineStr">
        <is>
          <t>bolt_yaris_cross</t>
        </is>
      </c>
      <c r="C54" t="inlineStr">
        <is>
          <t>bolt_yaris_cross_pkg_3d_300km</t>
        </is>
      </c>
      <c r="D54" t="inlineStr">
        <is>
          <t>3 days + 300km</t>
        </is>
      </c>
      <c r="E54" t="inlineStr">
        <is>
          <t>PACKAGE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/>
      <c r="K54" t="inlineStr"/>
      <c r="L54" t="inlineStr">
        <is>
          <t>3.5</t>
        </is>
      </c>
      <c r="M54" t="inlineStr">
        <is>
          <t>0.13</t>
        </is>
      </c>
      <c r="N54" t="inlineStr">
        <is>
          <t>0.13</t>
        </is>
      </c>
      <c r="O54" t="inlineStr">
        <is>
          <t>0.13</t>
        </is>
      </c>
      <c r="P54" t="inlineStr">
        <is>
          <t>0.13</t>
        </is>
      </c>
      <c r="Q54" t="inlineStr">
        <is>
          <t>0.29</t>
        </is>
      </c>
      <c r="R54" t="inlineStr">
        <is>
          <t>TRUE</t>
        </is>
      </c>
      <c r="S54" t="inlineStr">
        <is>
          <t>TRUE</t>
        </is>
      </c>
      <c r="T54" t="inlineStr">
        <is>
          <t>142.20</t>
        </is>
      </c>
      <c r="U54" t="inlineStr">
        <is>
          <t>4320</t>
        </is>
      </c>
      <c r="V54" t="inlineStr">
        <is>
          <t>300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(in-app)</t>
        </is>
      </c>
      <c r="AE54" t="inlineStr">
        <is>
          <t>Overage uses PAYG rates; airport fee is dropoff (MVP uses single toggle)</t>
        </is>
      </c>
    </row>
    <row r="55">
      <c r="A55" t="inlineStr">
        <is>
          <t>bolt</t>
        </is>
      </c>
      <c r="B55" t="inlineStr">
        <is>
          <t>bolt_yaris_cross</t>
        </is>
      </c>
      <c r="C55" t="inlineStr">
        <is>
          <t>bolt_yaris_cross_pkg_3d_500km</t>
        </is>
      </c>
      <c r="D55" t="inlineStr">
        <is>
          <t>3 days + 500km</t>
        </is>
      </c>
      <c r="E55" t="inlineStr">
        <is>
          <t>PACKAGE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/>
      <c r="K55" t="inlineStr"/>
      <c r="L55" t="inlineStr">
        <is>
          <t>3.5</t>
        </is>
      </c>
      <c r="M55" t="inlineStr">
        <is>
          <t>0.13</t>
        </is>
      </c>
      <c r="N55" t="inlineStr">
        <is>
          <t>0.13</t>
        </is>
      </c>
      <c r="O55" t="inlineStr">
        <is>
          <t>0.13</t>
        </is>
      </c>
      <c r="P55" t="inlineStr">
        <is>
          <t>0.13</t>
        </is>
      </c>
      <c r="Q55" t="inlineStr">
        <is>
          <t>0.29</t>
        </is>
      </c>
      <c r="R55" t="inlineStr">
        <is>
          <t>TRUE</t>
        </is>
      </c>
      <c r="S55" t="inlineStr">
        <is>
          <t>TRUE</t>
        </is>
      </c>
      <c r="T55" t="inlineStr">
        <is>
          <t>197.30</t>
        </is>
      </c>
      <c r="U55" t="inlineStr">
        <is>
          <t>4320</t>
        </is>
      </c>
      <c r="V55" t="inlineStr">
        <is>
          <t>500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(in-app)</t>
        </is>
      </c>
      <c r="AE55" t="inlineStr">
        <is>
          <t>Overage uses PAYG rates; airport fee is dropoff (MVP uses single toggle)</t>
        </is>
      </c>
    </row>
    <row r="56">
      <c r="A56" t="inlineStr">
        <is>
          <t>bolt</t>
        </is>
      </c>
      <c r="B56" t="inlineStr">
        <is>
          <t>bolt_yaris_cross</t>
        </is>
      </c>
      <c r="C56" t="inlineStr">
        <is>
          <t>bolt_yaris_cross_pkg_3d_750km</t>
        </is>
      </c>
      <c r="D56" t="inlineStr">
        <is>
          <t>3 days + 750km</t>
        </is>
      </c>
      <c r="E56" t="inlineStr">
        <is>
          <t>PACKAGE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/>
      <c r="K56" t="inlineStr"/>
      <c r="L56" t="inlineStr">
        <is>
          <t>3.5</t>
        </is>
      </c>
      <c r="M56" t="inlineStr">
        <is>
          <t>0.13</t>
        </is>
      </c>
      <c r="N56" t="inlineStr">
        <is>
          <t>0.13</t>
        </is>
      </c>
      <c r="O56" t="inlineStr">
        <is>
          <t>0.13</t>
        </is>
      </c>
      <c r="P56" t="inlineStr">
        <is>
          <t>0.13</t>
        </is>
      </c>
      <c r="Q56" t="inlineStr">
        <is>
          <t>0.29</t>
        </is>
      </c>
      <c r="R56" t="inlineStr">
        <is>
          <t>TRUE</t>
        </is>
      </c>
      <c r="S56" t="inlineStr">
        <is>
          <t>TRUE</t>
        </is>
      </c>
      <c r="T56" t="inlineStr">
        <is>
          <t>266.20</t>
        </is>
      </c>
      <c r="U56" t="inlineStr">
        <is>
          <t>4320</t>
        </is>
      </c>
      <c r="V56" t="inlineStr">
        <is>
          <t>750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(in-app)</t>
        </is>
      </c>
      <c r="AE56" t="inlineStr">
        <is>
          <t>Overage uses PAYG rates; airport fee is dropoff (MVP uses single toggle)</t>
        </is>
      </c>
    </row>
    <row r="57">
      <c r="A57" t="inlineStr">
        <is>
          <t>bolt</t>
        </is>
      </c>
      <c r="B57" t="inlineStr">
        <is>
          <t>bolt_yaris_cross</t>
        </is>
      </c>
      <c r="C57" t="inlineStr">
        <is>
          <t>bolt_yaris_cross_pkg_3d_1000km</t>
        </is>
      </c>
      <c r="D57" t="inlineStr">
        <is>
          <t>3 days + 1000km</t>
        </is>
      </c>
      <c r="E57" t="inlineStr">
        <is>
          <t>PACKAGE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/>
      <c r="K57" t="inlineStr"/>
      <c r="L57" t="inlineStr">
        <is>
          <t>3.5</t>
        </is>
      </c>
      <c r="M57" t="inlineStr">
        <is>
          <t>0.13</t>
        </is>
      </c>
      <c r="N57" t="inlineStr">
        <is>
          <t>0.13</t>
        </is>
      </c>
      <c r="O57" t="inlineStr">
        <is>
          <t>0.13</t>
        </is>
      </c>
      <c r="P57" t="inlineStr">
        <is>
          <t>0.13</t>
        </is>
      </c>
      <c r="Q57" t="inlineStr">
        <is>
          <t>0.29</t>
        </is>
      </c>
      <c r="R57" t="inlineStr">
        <is>
          <t>TRUE</t>
        </is>
      </c>
      <c r="S57" t="inlineStr">
        <is>
          <t>TRUE</t>
        </is>
      </c>
      <c r="T57" t="inlineStr">
        <is>
          <t>335.10</t>
        </is>
      </c>
      <c r="U57" t="inlineStr">
        <is>
          <t>4320</t>
        </is>
      </c>
      <c r="V57" t="inlineStr">
        <is>
          <t>1000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(in-app)</t>
        </is>
      </c>
      <c r="AE57" t="inlineStr">
        <is>
          <t>Overage uses PAYG rates; airport fee is dropoff (MVP uses single toggle)</t>
        </is>
      </c>
    </row>
    <row r="58">
      <c r="A58" t="inlineStr">
        <is>
          <t>bolt</t>
        </is>
      </c>
      <c r="B58" t="inlineStr">
        <is>
          <t>bolt_yaris_cross</t>
        </is>
      </c>
      <c r="C58" t="inlineStr">
        <is>
          <t>bolt_yaris_cross_pkg_3d_1500km</t>
        </is>
      </c>
      <c r="D58" t="inlineStr">
        <is>
          <t>3 days + 1500km</t>
        </is>
      </c>
      <c r="E58" t="inlineStr">
        <is>
          <t>PACKAGE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/>
      <c r="K58" t="inlineStr"/>
      <c r="L58" t="inlineStr">
        <is>
          <t>3.5</t>
        </is>
      </c>
      <c r="M58" t="inlineStr">
        <is>
          <t>0.13</t>
        </is>
      </c>
      <c r="N58" t="inlineStr">
        <is>
          <t>0.13</t>
        </is>
      </c>
      <c r="O58" t="inlineStr">
        <is>
          <t>0.13</t>
        </is>
      </c>
      <c r="P58" t="inlineStr">
        <is>
          <t>0.13</t>
        </is>
      </c>
      <c r="Q58" t="inlineStr">
        <is>
          <t>0.29</t>
        </is>
      </c>
      <c r="R58" t="inlineStr">
        <is>
          <t>TRUE</t>
        </is>
      </c>
      <c r="S58" t="inlineStr">
        <is>
          <t>TRUE</t>
        </is>
      </c>
      <c r="T58" t="inlineStr">
        <is>
          <t>472.80</t>
        </is>
      </c>
      <c r="U58" t="inlineStr">
        <is>
          <t>4320</t>
        </is>
      </c>
      <c r="V58" t="inlineStr">
        <is>
          <t>1500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(in-app)</t>
        </is>
      </c>
      <c r="AE58" t="inlineStr">
        <is>
          <t>Overage uses PAYG rates; airport fee is dropoff (MVP uses single toggle)</t>
        </is>
      </c>
    </row>
    <row r="59">
      <c r="A59" t="inlineStr">
        <is>
          <t>bolt</t>
        </is>
      </c>
      <c r="B59" t="inlineStr">
        <is>
          <t>bolt_yaris_cross</t>
        </is>
      </c>
      <c r="C59" t="inlineStr">
        <is>
          <t>bolt_yaris_cross_pkg_7d_250km</t>
        </is>
      </c>
      <c r="D59" t="inlineStr">
        <is>
          <t>7 days + 250km</t>
        </is>
      </c>
      <c r="E59" t="inlineStr">
        <is>
          <t>PACKAGE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/>
      <c r="K59" t="inlineStr"/>
      <c r="L59" t="inlineStr">
        <is>
          <t>3.5</t>
        </is>
      </c>
      <c r="M59" t="inlineStr">
        <is>
          <t>0.13</t>
        </is>
      </c>
      <c r="N59" t="inlineStr">
        <is>
          <t>0.13</t>
        </is>
      </c>
      <c r="O59" t="inlineStr">
        <is>
          <t>0.13</t>
        </is>
      </c>
      <c r="P59" t="inlineStr">
        <is>
          <t>0.13</t>
        </is>
      </c>
      <c r="Q59" t="inlineStr">
        <is>
          <t>0.29</t>
        </is>
      </c>
      <c r="R59" t="inlineStr">
        <is>
          <t>TRUE</t>
        </is>
      </c>
      <c r="S59" t="inlineStr">
        <is>
          <t>TRUE</t>
        </is>
      </c>
      <c r="T59" t="inlineStr">
        <is>
          <t>207.90</t>
        </is>
      </c>
      <c r="U59" t="inlineStr">
        <is>
          <t>10080</t>
        </is>
      </c>
      <c r="V59" t="inlineStr">
        <is>
          <t>250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(in-app)</t>
        </is>
      </c>
      <c r="AE59" t="inlineStr">
        <is>
          <t>Overage uses PAYG rates; airport fee is dropoff (MVP uses single toggle)</t>
        </is>
      </c>
    </row>
    <row r="60">
      <c r="A60" t="inlineStr">
        <is>
          <t>bolt</t>
        </is>
      </c>
      <c r="B60" t="inlineStr">
        <is>
          <t>bolt_yaris_cross</t>
        </is>
      </c>
      <c r="C60" t="inlineStr">
        <is>
          <t>bolt_yaris_cross_pkg_7d_500km</t>
        </is>
      </c>
      <c r="D60" t="inlineStr">
        <is>
          <t>7 days + 500km</t>
        </is>
      </c>
      <c r="E60" t="inlineStr">
        <is>
          <t>PACKAGE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/>
      <c r="K60" t="inlineStr"/>
      <c r="L60" t="inlineStr">
        <is>
          <t>3.5</t>
        </is>
      </c>
      <c r="M60" t="inlineStr">
        <is>
          <t>0.13</t>
        </is>
      </c>
      <c r="N60" t="inlineStr">
        <is>
          <t>0.13</t>
        </is>
      </c>
      <c r="O60" t="inlineStr">
        <is>
          <t>0.13</t>
        </is>
      </c>
      <c r="P60" t="inlineStr">
        <is>
          <t>0.13</t>
        </is>
      </c>
      <c r="Q60" t="inlineStr">
        <is>
          <t>0.29</t>
        </is>
      </c>
      <c r="R60" t="inlineStr">
        <is>
          <t>TRUE</t>
        </is>
      </c>
      <c r="S60" t="inlineStr">
        <is>
          <t>TRUE</t>
        </is>
      </c>
      <c r="T60" t="inlineStr">
        <is>
          <t>276.70</t>
        </is>
      </c>
      <c r="U60" t="inlineStr">
        <is>
          <t>10080</t>
        </is>
      </c>
      <c r="V60" t="inlineStr">
        <is>
          <t>500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(in-app)</t>
        </is>
      </c>
      <c r="AE60" t="inlineStr">
        <is>
          <t>Overage uses PAYG rates; airport fee is dropoff (MVP uses single toggle)</t>
        </is>
      </c>
    </row>
    <row r="61">
      <c r="A61" t="inlineStr">
        <is>
          <t>bolt</t>
        </is>
      </c>
      <c r="B61" t="inlineStr">
        <is>
          <t>bolt_yaris_cross</t>
        </is>
      </c>
      <c r="C61" t="inlineStr">
        <is>
          <t>bolt_yaris_cross_pkg_7d_750km</t>
        </is>
      </c>
      <c r="D61" t="inlineStr">
        <is>
          <t>7 days + 750km</t>
        </is>
      </c>
      <c r="E61" t="inlineStr">
        <is>
          <t>PACKAGE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/>
      <c r="K61" t="inlineStr"/>
      <c r="L61" t="inlineStr">
        <is>
          <t>3.5</t>
        </is>
      </c>
      <c r="M61" t="inlineStr">
        <is>
          <t>0.13</t>
        </is>
      </c>
      <c r="N61" t="inlineStr">
        <is>
          <t>0.13</t>
        </is>
      </c>
      <c r="O61" t="inlineStr">
        <is>
          <t>0.13</t>
        </is>
      </c>
      <c r="P61" t="inlineStr">
        <is>
          <t>0.13</t>
        </is>
      </c>
      <c r="Q61" t="inlineStr">
        <is>
          <t>0.29</t>
        </is>
      </c>
      <c r="R61" t="inlineStr">
        <is>
          <t>TRUE</t>
        </is>
      </c>
      <c r="S61" t="inlineStr">
        <is>
          <t>TRUE</t>
        </is>
      </c>
      <c r="T61" t="inlineStr">
        <is>
          <t>345.60</t>
        </is>
      </c>
      <c r="U61" t="inlineStr">
        <is>
          <t>10080</t>
        </is>
      </c>
      <c r="V61" t="inlineStr">
        <is>
          <t>750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(in-app)</t>
        </is>
      </c>
      <c r="AE61" t="inlineStr">
        <is>
          <t>Overage uses PAYG rates; airport fee is dropoff (MVP uses single toggle)</t>
        </is>
      </c>
    </row>
    <row r="62">
      <c r="A62" t="inlineStr">
        <is>
          <t>bolt</t>
        </is>
      </c>
      <c r="B62" t="inlineStr">
        <is>
          <t>bolt_yaris_cross</t>
        </is>
      </c>
      <c r="C62" t="inlineStr">
        <is>
          <t>bolt_yaris_cross_pkg_7d_1000km</t>
        </is>
      </c>
      <c r="D62" t="inlineStr">
        <is>
          <t>7 days + 1000km</t>
        </is>
      </c>
      <c r="E62" t="inlineStr">
        <is>
          <t>PACKAGE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/>
      <c r="K62" t="inlineStr"/>
      <c r="L62" t="inlineStr">
        <is>
          <t>3.5</t>
        </is>
      </c>
      <c r="M62" t="inlineStr">
        <is>
          <t>0.13</t>
        </is>
      </c>
      <c r="N62" t="inlineStr">
        <is>
          <t>0.13</t>
        </is>
      </c>
      <c r="O62" t="inlineStr">
        <is>
          <t>0.13</t>
        </is>
      </c>
      <c r="P62" t="inlineStr">
        <is>
          <t>0.13</t>
        </is>
      </c>
      <c r="Q62" t="inlineStr">
        <is>
          <t>0.29</t>
        </is>
      </c>
      <c r="R62" t="inlineStr">
        <is>
          <t>TRUE</t>
        </is>
      </c>
      <c r="S62" t="inlineStr">
        <is>
          <t>TRUE</t>
        </is>
      </c>
      <c r="T62" t="inlineStr">
        <is>
          <t>414.50</t>
        </is>
      </c>
      <c r="U62" t="inlineStr">
        <is>
          <t>10080</t>
        </is>
      </c>
      <c r="V62" t="inlineStr">
        <is>
          <t>1000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(in-app)</t>
        </is>
      </c>
      <c r="AE62" t="inlineStr">
        <is>
          <t>Overage uses PAYG rates; airport fee is dropoff (MVP uses single toggle)</t>
        </is>
      </c>
    </row>
    <row r="63">
      <c r="A63" t="inlineStr">
        <is>
          <t>bolt</t>
        </is>
      </c>
      <c r="B63" t="inlineStr">
        <is>
          <t>bolt_yaris_cross</t>
        </is>
      </c>
      <c r="C63" t="inlineStr">
        <is>
          <t>bolt_yaris_cross_pkg_7d_1500km</t>
        </is>
      </c>
      <c r="D63" t="inlineStr">
        <is>
          <t>7 days + 1500km</t>
        </is>
      </c>
      <c r="E63" t="inlineStr">
        <is>
          <t>PACKAGE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/>
      <c r="K63" t="inlineStr"/>
      <c r="L63" t="inlineStr">
        <is>
          <t>3.5</t>
        </is>
      </c>
      <c r="M63" t="inlineStr">
        <is>
          <t>0.13</t>
        </is>
      </c>
      <c r="N63" t="inlineStr">
        <is>
          <t>0.13</t>
        </is>
      </c>
      <c r="O63" t="inlineStr">
        <is>
          <t>0.13</t>
        </is>
      </c>
      <c r="P63" t="inlineStr">
        <is>
          <t>0.13</t>
        </is>
      </c>
      <c r="Q63" t="inlineStr">
        <is>
          <t>0.29</t>
        </is>
      </c>
      <c r="R63" t="inlineStr">
        <is>
          <t>TRUE</t>
        </is>
      </c>
      <c r="S63" t="inlineStr">
        <is>
          <t>TRUE</t>
        </is>
      </c>
      <c r="T63" t="inlineStr">
        <is>
          <t>552.20</t>
        </is>
      </c>
      <c r="U63" t="inlineStr">
        <is>
          <t>10080</t>
        </is>
      </c>
      <c r="V63" t="inlineStr">
        <is>
          <t>1500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(in-app)</t>
        </is>
      </c>
      <c r="AE63" t="inlineStr">
        <is>
          <t>Overage uses PAYG rates; airport fee is dropoff (MVP uses single toggle)</t>
        </is>
      </c>
    </row>
    <row r="64">
      <c r="A64" t="inlineStr">
        <is>
          <t>bolt</t>
        </is>
      </c>
      <c r="B64" t="inlineStr">
        <is>
          <t>bolt_yaris_cross</t>
        </is>
      </c>
      <c r="C64" t="inlineStr">
        <is>
          <t>bolt_yaris_cross_pkg_7d_2000km</t>
        </is>
      </c>
      <c r="D64" t="inlineStr">
        <is>
          <t>7 days + 2000km</t>
        </is>
      </c>
      <c r="E64" t="inlineStr">
        <is>
          <t>PACKAGE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/>
      <c r="K64" t="inlineStr"/>
      <c r="L64" t="inlineStr">
        <is>
          <t>3.5</t>
        </is>
      </c>
      <c r="M64" t="inlineStr">
        <is>
          <t>0.13</t>
        </is>
      </c>
      <c r="N64" t="inlineStr">
        <is>
          <t>0.13</t>
        </is>
      </c>
      <c r="O64" t="inlineStr">
        <is>
          <t>0.13</t>
        </is>
      </c>
      <c r="P64" t="inlineStr">
        <is>
          <t>0.13</t>
        </is>
      </c>
      <c r="Q64" t="inlineStr">
        <is>
          <t>0.29</t>
        </is>
      </c>
      <c r="R64" t="inlineStr">
        <is>
          <t>TRUE</t>
        </is>
      </c>
      <c r="S64" t="inlineStr">
        <is>
          <t>TRUE</t>
        </is>
      </c>
      <c r="T64" t="inlineStr">
        <is>
          <t>687.00</t>
        </is>
      </c>
      <c r="U64" t="inlineStr">
        <is>
          <t>10080</t>
        </is>
      </c>
      <c r="V64" t="inlineStr">
        <is>
          <t>2000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(in-app)</t>
        </is>
      </c>
      <c r="AE64" t="inlineStr">
        <is>
          <t>Overage uses PAYG rates; airport fee is dropoff (MVP uses single toggle)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vehicle_id</t>
        </is>
      </c>
      <c r="C1" t="inlineStr">
        <is>
          <t>option_id</t>
        </is>
      </c>
      <c r="D1" t="inlineStr">
        <is>
          <t>option_name</t>
        </is>
      </c>
      <c r="E1" t="inlineStr">
        <is>
          <t>option_type</t>
        </is>
      </c>
      <c r="F1" t="inlineStr">
        <is>
          <t>unlock_fee_eur</t>
        </is>
      </c>
      <c r="G1" t="inlineStr">
        <is>
          <t>reservation_fee_eur</t>
        </is>
      </c>
      <c r="H1" t="inlineStr">
        <is>
          <t>fixed_fee_eur</t>
        </is>
      </c>
      <c r="I1" t="inlineStr">
        <is>
          <t>trip_fee_eur</t>
        </is>
      </c>
      <c r="J1" t="inlineStr">
        <is>
          <t>min_total_eur</t>
        </is>
      </c>
      <c r="K1" t="inlineStr">
        <is>
          <t>cap_24h_eur</t>
        </is>
      </c>
      <c r="L1" t="inlineStr">
        <is>
          <t>airport_fee_eur</t>
        </is>
      </c>
      <c r="M1" t="inlineStr">
        <is>
          <t>drive_day_min_rate_eur</t>
        </is>
      </c>
      <c r="N1" t="inlineStr">
        <is>
          <t>drive_night_min_rate_eur</t>
        </is>
      </c>
      <c r="O1" t="inlineStr">
        <is>
          <t>park_day_min_rate_eur</t>
        </is>
      </c>
      <c r="P1" t="inlineStr">
        <is>
          <t>park_night_min_rate_eur</t>
        </is>
      </c>
      <c r="Q1" t="inlineStr">
        <is>
          <t>km_rate_eur</t>
        </is>
      </c>
      <c r="R1" t="inlineStr">
        <is>
          <t>fuel_included</t>
        </is>
      </c>
      <c r="S1" t="inlineStr">
        <is>
          <t>parking_included</t>
        </is>
      </c>
      <c r="T1" t="inlineStr">
        <is>
          <t>package_price_eur</t>
        </is>
      </c>
      <c r="U1" t="inlineStr">
        <is>
          <t>included_min</t>
        </is>
      </c>
      <c r="V1" t="inlineStr">
        <is>
          <t>included_km</t>
        </is>
      </c>
      <c r="W1" t="inlineStr">
        <is>
          <t>over_km_rate_eur</t>
        </is>
      </c>
      <c r="X1" t="inlineStr">
        <is>
          <t>over_day_min_rate_eur</t>
        </is>
      </c>
      <c r="Y1" t="inlineStr">
        <is>
          <t>over_night_min_rate_eur</t>
        </is>
      </c>
      <c r="Z1" t="inlineStr">
        <is>
          <t>daily_price_eur</t>
        </is>
      </c>
      <c r="AA1" t="inlineStr">
        <is>
          <t>daily_included_km</t>
        </is>
      </c>
      <c r="AB1" t="inlineStr">
        <is>
          <t>daily_unlimited_km</t>
        </is>
      </c>
      <c r="AC1" t="inlineStr">
        <is>
          <t>daily_over_km_rate_eur</t>
        </is>
      </c>
      <c r="AD1" t="inlineStr">
        <is>
          <t>source_url</t>
        </is>
      </c>
      <c r="AE1" t="inlineStr">
        <is>
          <t>notes</t>
        </is>
      </c>
      <c r="AF1" t="inlineStr">
        <is>
          <t>total_eur</t>
        </is>
      </c>
      <c r="AG1" t="inlineStr">
        <is>
          <t>base_eur</t>
        </is>
      </c>
      <c r="AH1" t="inlineStr">
        <is>
          <t>fees_eur</t>
        </is>
      </c>
      <c r="AI1" t="inlineStr">
        <is>
          <t>time_eur</t>
        </is>
      </c>
      <c r="AJ1" t="inlineStr">
        <is>
          <t>km_eur</t>
        </is>
      </c>
      <c r="AK1" t="inlineStr">
        <is>
          <t>airport_eur</t>
        </is>
      </c>
      <c r="AL1" t="inlineStr">
        <is>
          <t>fuel_eur</t>
        </is>
      </c>
    </row>
    <row r="2">
      <c r="A2">
        <f>FILTER(Options!A:AE,Options!A:A&lt;&gt;"")</f>
        <v/>
      </c>
      <c r="AF2">
        <f>ARRAYFORMULA(IF(A2:A="","",ROUNDUP((IF(E2:E="PAYG",IF(IF(AG2:AG&lt;IFNA(J2:J,0),IFNA(J2:J,0),AG2:AG)&gt;IF(IFNA(K2:K,0)&gt;0,CEILING(Inputs!B12/1440,1)*K2:K,1E99),IF(IFNA(K2:K,0)&gt;0,CEILING(Inputs!B12/1440,1)*K2:K,1E99),IF(AG2:AG&lt;IFNA(J2:J,0),IFNA(J2:J,0),AG2:AG)),AG2:AG)+AH2:AH+AK2:AK+AL2:AL,2)))</f>
        <v/>
      </c>
      <c r="AG2">
        <f>ARRAYFORMULA(IF(A2:A="","",ROUNDUP(IF(E2:E="PAYG",IFNA(I2:I,0)+AI2:AI+AJ2:AJ,IF(E2:E="PACKAGE",IFNA(T2:T,0)+AI2:AI+AJ2:AJ,IF(E2:E="DAILY",CEILING(Inputs!B12/1440,1)*IFNA(Z2:Z,0)+AJ2:AJ,NA()))),2)))</f>
        <v/>
      </c>
      <c r="AH2">
        <f>ARRAYFORMULA(IF(A2:A="","",ROUNDUP(F2:F+G2:G+H2:H,2)))</f>
        <v/>
      </c>
      <c r="AI2">
        <f>ARRAYFORMULA(IF(A2:A="","",ROUNDUP(IF(E2:E="PAYG",(IFNA(VLOOKUP(A2:A,Inputs!A18:I,9,FALSE),0)*M2:M+IFNA(VLOOKUP(A2:A,Inputs!A18:I,8,FALSE),0)*N2:N+IFNA(VLOOKUP(A2:A,Inputs!A18:I,7,FALSE),0)*IF(O2:O="",M2:M,O2:O)+IFNA(VLOOKUP(A2:A,Inputs!A18:I,6,FALSE),0)*IF(P2:P="",N2:N,P2:P)),IF(E2:E="PACKAGE",(IF(Inputs!B12-IFNA(U2:U,0)&gt;0,Inputs!B12-IFNA(U2:U,0),0)*IF(Inputs!B12=0,0,(IFNA(VLOOKUP(A2:A,Inputs!A18:I,9,FALSE),0)*IF(X2:X="",M2:M,X2:X)+IFNA(VLOOKUP(A2:A,Inputs!A18:I,8,FALSE),0)*IF(Y2:Y="",N2:N,Y2:Y)+IFNA(VLOOKUP(A2:A,Inputs!A18:I,7,FALSE),0)*IF(X2:X="",M2:M,X2:X)+IFNA(VLOOKUP(A2:A,Inputs!A18:I,6,FALSE),0)*IF(Y2:Y="",N2:N,Y2:Y))/Inputs!B12)),0)),2)))</f>
        <v/>
      </c>
      <c r="AJ2">
        <f>ARRAYFORMULA(IF(A2:A="","",ROUNDUP(IF(E2:E="PAYG",IF(IFNA(V2:V,0)&gt;0,(IF(Inputs!B14-IFNA(V2:V,0)&gt;0,Inputs!B14-IFNA(V2:V,0),0)*IF(W2:W="",Q2:Q,W2:W)),Inputs!B14*Q2:Q),IF(E2:E="PACKAGE",(IF(Inputs!B14-IFNA(V2:V,0)&gt;0,Inputs!B14-IFNA(V2:V,0),0)*IF(W2:W="",Q2:Q,W2:W)),IF(E2:E="DAILY",IF(AB2:AB,0,(IF(Inputs!B14-IFNA(AA2:AA,0)*CEILING(Inputs!B12/1440,1)&gt;0,Inputs!B14-IFNA(AA2:AA,0)*CEILING(Inputs!B12/1440,1),0)*IF(AC2:AC="",Q2:Q,AC2:AC))),0))),2)))</f>
        <v/>
      </c>
      <c r="AK2">
        <f>ARRAYFORMULA(IF(A2:A="","",ROUNDUP(IF(Inputs!B6,IFNA(L2:L,0),0),2)))</f>
        <v/>
      </c>
      <c r="AL2">
        <f>ARRAYFORMULA(IF(A2:A="","",IF(R2:R,0,ROUNDUP(Inputs!B14*(Inputs!B9/100)*Inputs!B8,2))))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Selected option_id</t>
        </is>
      </c>
      <c r="B2" t="inlineStr"/>
      <c r="C2" t="inlineStr">
        <is>
          <t>Use dropdown from Results column C</t>
        </is>
      </c>
    </row>
    <row r="3">
      <c r="A3" t="inlineStr">
        <is>
          <t>Total (€)</t>
        </is>
      </c>
      <c r="B3">
        <f>IF(B2="","",INDEX(FILTER(Results!AF:AF,Results!C:C=B2),1))</f>
        <v/>
      </c>
      <c r="C3" t="inlineStr"/>
    </row>
    <row r="4">
      <c r="A4" t="inlineStr">
        <is>
          <t>Base (€)</t>
        </is>
      </c>
      <c r="B4">
        <f>IF(B2="","",INDEX(FILTER(Results!AG:AG,Results!C:C=B2),1))</f>
        <v/>
      </c>
      <c r="C4" t="inlineStr"/>
    </row>
    <row r="5">
      <c r="A5" t="inlineStr">
        <is>
          <t>Fees (€)</t>
        </is>
      </c>
      <c r="B5">
        <f>IF(B2="","",INDEX(FILTER(Results!AH:AH,Results!C:C=B2),1))</f>
        <v/>
      </c>
      <c r="C5" t="inlineStr"/>
    </row>
    <row r="6">
      <c r="A6" t="inlineStr">
        <is>
          <t>Time (€)</t>
        </is>
      </c>
      <c r="B6">
        <f>IF(B2="","",INDEX(FILTER(Results!AI:AI,Results!C:C=B2),1))</f>
        <v/>
      </c>
      <c r="C6" t="inlineStr"/>
    </row>
    <row r="7">
      <c r="A7" t="inlineStr">
        <is>
          <t>Distance (€)</t>
        </is>
      </c>
      <c r="B7">
        <f>IF(B2="","",INDEX(FILTER(Results!AJ:AJ,Results!C:C=B2),1))</f>
        <v/>
      </c>
      <c r="C7" t="inlineStr"/>
    </row>
    <row r="8">
      <c r="A8" t="inlineStr">
        <is>
          <t>Airport (€)</t>
        </is>
      </c>
      <c r="B8">
        <f>IF(B2="","",INDEX(FILTER(Results!AK:AK,Results!C:C=B2),1))</f>
        <v/>
      </c>
      <c r="C8" t="inlineStr"/>
    </row>
    <row r="9">
      <c r="A9" t="inlineStr">
        <is>
          <t>Fuel (€)</t>
        </is>
      </c>
      <c r="B9">
        <f>IF(B2="","",INDEX(FILTER(Results!AL:AL,Results!C:C=B2),1))</f>
        <v/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2026-01-23T08:58:15Z</dcterms:created>
  <dcterms:modified xsi:type="dcterms:W3CDTF">2026-01-23T08:58:15Z</dcterms:modified>
</cp:coreProperties>
</file>